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ubject" sheetId="2" state="visible" r:id="rId2"/>
    <sheet xmlns:r="http://schemas.openxmlformats.org/officeDocument/2006/relationships" name="Comps" sheetId="3" state="visible" r:id="rId3"/>
    <sheet xmlns:r="http://schemas.openxmlformats.org/officeDocument/2006/relationships" name="Valuation" sheetId="4" state="visible" r:id="rId4"/>
    <sheet xmlns:r="http://schemas.openxmlformats.org/officeDocument/2006/relationships" name="Carrying costs" sheetId="5" state="visible" r:id="rId5"/>
    <sheet xmlns:r="http://schemas.openxmlformats.org/officeDocument/2006/relationships" name="Upgrades" sheetId="6" state="visible" r:id="rId6"/>
    <sheet xmlns:r="http://schemas.openxmlformats.org/officeDocument/2006/relationships" name="Risks" sheetId="7" state="visible" r:id="rId7"/>
    <sheet xmlns:r="http://schemas.openxmlformats.org/officeDocument/2006/relationships" name="Permits" sheetId="8" state="visible" r:id="rId8"/>
    <sheet xmlns:r="http://schemas.openxmlformats.org/officeDocument/2006/relationships" name="Sources" sheetId="9" state="visible" r:id="rId9"/>
  </sheets>
  <definedNames>
    <definedName name="_xlnm._FilterDatabase" localSheetId="1" hidden="1">'Subject'!$A$1:$C$23</definedName>
    <definedName name="_xlnm.Print_Titles" localSheetId="1">'Subject'!$1:$1</definedName>
    <definedName name="_xlnm._FilterDatabase" localSheetId="2" hidden="1">'Comps'!$A$1:$R$12</definedName>
    <definedName name="_xlnm.Print_Titles" localSheetId="2">'Comps'!$1:$1</definedName>
    <definedName name="_xlnm.Print_Titles" localSheetId="3">'Valuation'!$1:$1</definedName>
    <definedName name="_xlnm.Print_Titles" localSheetId="4">'Carrying costs'!$3:$3</definedName>
    <definedName name="_xlnm._FilterDatabase" localSheetId="5" hidden="1">'Upgrades'!$A$1:$D$20</definedName>
    <definedName name="_xlnm.Print_Titles" localSheetId="5">'Upgrades'!$1:$1</definedName>
    <definedName name="_xlnm._FilterDatabase" localSheetId="6" hidden="1">'Risks'!$A$1:$D$15</definedName>
    <definedName name="_xlnm.Print_Titles" localSheetId="6">'Risks'!$1:$1</definedName>
    <definedName name="_xlnm._FilterDatabase" localSheetId="7" hidden="1">'Permits'!$A$4:$G$11</definedName>
    <definedName name="_xlnm.Print_Titles" localSheetId="7">'Permits'!$4:$4</definedName>
    <definedName name="_xlnm._FilterDatabase" localSheetId="8" hidden="1">'Sources'!$A$1:$C$21</definedName>
    <definedName name="_xlnm.Print_Titles" localSheetId="8">'Sources'!$1:$1</definedName>
  </definedNames>
  <calcPr calcId="124519" fullCalcOnLoad="1"/>
</workbook>
</file>

<file path=xl/styles.xml><?xml version="1.0" encoding="utf-8"?>
<styleSheet xmlns="http://schemas.openxmlformats.org/spreadsheetml/2006/main">
  <numFmts count="3">
    <numFmt numFmtId="164" formatCode="&quot;$&quot;#,##0"/>
    <numFmt numFmtId="165" formatCode="&quot;$&quot;#,##0.00"/>
    <numFmt numFmtId="166" formatCode="0.0%"/>
  </numFmts>
  <fonts count="9">
    <font>
      <name val="Calibri"/>
      <family val="2"/>
      <color theme="1"/>
      <sz val="11"/>
      <scheme val="minor"/>
    </font>
    <font>
      <name val="Calibri"/>
      <b val="1"/>
      <color rgb="001F4E79"/>
      <sz val="16"/>
    </font>
    <font>
      <name val="Calibri"/>
      <b val="1"/>
    </font>
    <font>
      <name val="Calibri"/>
      <b val="1"/>
      <color rgb="00FFFFFF"/>
      <sz val="11"/>
    </font>
    <font>
      <name val="Calibri"/>
      <b val="1"/>
      <sz val="10"/>
    </font>
    <font>
      <name val="Calibri"/>
      <sz val="10"/>
    </font>
    <font>
      <b val="1"/>
    </font>
    <font>
      <b val="1"/>
      <color rgb="001F4E79"/>
      <sz val="16"/>
    </font>
    <font>
      <b val="1"/>
      <color rgb="001F4E79"/>
      <sz val="14"/>
    </font>
  </fonts>
  <fills count="8">
    <fill>
      <patternFill/>
    </fill>
    <fill>
      <patternFill patternType="gray125"/>
    </fill>
    <fill>
      <patternFill patternType="solid">
        <fgColor rgb="001F4E79"/>
      </patternFill>
    </fill>
    <fill>
      <patternFill patternType="solid">
        <fgColor rgb="00F4B183"/>
      </patternFill>
    </fill>
    <fill>
      <patternFill patternType="solid">
        <fgColor rgb="00DDEBF7"/>
      </patternFill>
    </fill>
    <fill>
      <patternFill patternType="solid">
        <fgColor rgb="00E2EFDA"/>
      </patternFill>
    </fill>
    <fill>
      <patternFill patternType="solid">
        <fgColor rgb="00FFF2CC"/>
      </patternFill>
    </fill>
    <fill>
      <patternFill patternType="solid">
        <fgColor rgb="00F8CBA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1" applyAlignment="1" pivotButton="0" quotePrefix="0" xfId="0">
      <alignment vertical="center" wrapText="1"/>
    </xf>
    <xf numFmtId="0" fontId="0" fillId="0" borderId="1" applyAlignment="1" pivotButton="0" quotePrefix="0" xfId="0">
      <alignment vertical="center" wrapText="1"/>
    </xf>
    <xf numFmtId="164" fontId="0" fillId="0" borderId="1" applyAlignment="1" pivotButton="0" quotePrefix="0" xfId="0">
      <alignment vertical="center" wrapText="1"/>
    </xf>
    <xf numFmtId="3" fontId="0" fillId="0" borderId="1" applyAlignment="1" pivotButton="0" quotePrefix="0" xfId="0">
      <alignment vertical="center" wrapText="1"/>
    </xf>
    <xf numFmtId="165" fontId="0" fillId="0" borderId="1" applyAlignment="1" pivotButton="0" quotePrefix="0" xfId="0">
      <alignment vertical="center" wrapText="1"/>
    </xf>
    <xf numFmtId="0" fontId="3" fillId="2" borderId="1" applyAlignment="1" pivotButton="0" quotePrefix="0" xfId="0">
      <alignment horizontal="center" vertical="center" wrapText="1"/>
    </xf>
    <xf numFmtId="0" fontId="3" fillId="2" borderId="0" pivotButton="0" quotePrefix="0" xfId="0"/>
    <xf numFmtId="0" fontId="4" fillId="3" borderId="1" applyAlignment="1" pivotButton="0" quotePrefix="0" xfId="0">
      <alignment vertical="center" wrapText="1"/>
    </xf>
    <xf numFmtId="164" fontId="4" fillId="3" borderId="1" applyAlignment="1" pivotButton="0" quotePrefix="0" xfId="0">
      <alignment vertical="center" wrapText="1"/>
    </xf>
    <xf numFmtId="3" fontId="4" fillId="3" borderId="1" applyAlignment="1" pivotButton="0" quotePrefix="0" xfId="0">
      <alignment vertical="center" wrapText="1"/>
    </xf>
    <xf numFmtId="165" fontId="4" fillId="3" borderId="1" applyAlignment="1" pivotButton="0" quotePrefix="0" xfId="0">
      <alignment vertical="center" wrapText="1"/>
    </xf>
    <xf numFmtId="166" fontId="4" fillId="3" borderId="1" applyAlignment="1" pivotButton="0" quotePrefix="0" xfId="0">
      <alignment vertical="center" wrapText="1"/>
    </xf>
    <xf numFmtId="165" fontId="0" fillId="0" borderId="0" pivotButton="0" quotePrefix="0" xfId="0"/>
    <xf numFmtId="0" fontId="5" fillId="4" borderId="1" applyAlignment="1" pivotButton="0" quotePrefix="0" xfId="0">
      <alignment vertical="center" wrapText="1"/>
    </xf>
    <xf numFmtId="164" fontId="5" fillId="4" borderId="1" applyAlignment="1" pivotButton="0" quotePrefix="0" xfId="0">
      <alignment vertical="center" wrapText="1"/>
    </xf>
    <xf numFmtId="3" fontId="5" fillId="4" borderId="1" applyAlignment="1" pivotButton="0" quotePrefix="0" xfId="0">
      <alignment vertical="center" wrapText="1"/>
    </xf>
    <xf numFmtId="165" fontId="5" fillId="4" borderId="1" applyAlignment="1" pivotButton="0" quotePrefix="0" xfId="0">
      <alignment vertical="center" wrapText="1"/>
    </xf>
    <xf numFmtId="166" fontId="5" fillId="4" borderId="1" applyAlignment="1" pivotButton="0" quotePrefix="0" xfId="0">
      <alignment vertical="center" wrapText="1"/>
    </xf>
    <xf numFmtId="0" fontId="5" fillId="5" borderId="1" applyAlignment="1" pivotButton="0" quotePrefix="0" xfId="0">
      <alignment vertical="center" wrapText="1"/>
    </xf>
    <xf numFmtId="164" fontId="5" fillId="5" borderId="1" applyAlignment="1" pivotButton="0" quotePrefix="0" xfId="0">
      <alignment vertical="center" wrapText="1"/>
    </xf>
    <xf numFmtId="3" fontId="5" fillId="5" borderId="1" applyAlignment="1" pivotButton="0" quotePrefix="0" xfId="0">
      <alignment vertical="center" wrapText="1"/>
    </xf>
    <xf numFmtId="165" fontId="5" fillId="5" borderId="1" applyAlignment="1" pivotButton="0" quotePrefix="0" xfId="0">
      <alignment vertical="center" wrapText="1"/>
    </xf>
    <xf numFmtId="166" fontId="5" fillId="5" borderId="1" applyAlignment="1" pivotButton="0" quotePrefix="0" xfId="0">
      <alignment vertical="center" wrapText="1"/>
    </xf>
    <xf numFmtId="0" fontId="6" fillId="0" borderId="0" pivotButton="0" quotePrefix="0" xfId="0"/>
    <xf numFmtId="165" fontId="0" fillId="6" borderId="0" pivotButton="0" quotePrefix="0" xfId="0"/>
    <xf numFmtId="0" fontId="7" fillId="0" borderId="0" pivotButton="0" quotePrefix="0" xfId="0"/>
    <xf numFmtId="0" fontId="0" fillId="0" borderId="0" applyAlignment="1" pivotButton="0" quotePrefix="0" xfId="0">
      <alignment wrapText="1"/>
    </xf>
    <xf numFmtId="0" fontId="6" fillId="0" borderId="1" applyAlignment="1" pivotButton="0" quotePrefix="0" xfId="0">
      <alignment vertical="center" wrapText="1"/>
    </xf>
    <xf numFmtId="165" fontId="0" fillId="6" borderId="1" applyAlignment="1" pivotButton="0" quotePrefix="0" xfId="0">
      <alignment vertical="center" wrapText="1"/>
    </xf>
    <xf numFmtId="164" fontId="0" fillId="6" borderId="1" applyAlignment="1" pivotButton="0" quotePrefix="0" xfId="0">
      <alignment vertical="center" wrapText="1"/>
    </xf>
    <xf numFmtId="166" fontId="0" fillId="0" borderId="1" applyAlignment="1" pivotButton="0" quotePrefix="0" xfId="0">
      <alignment vertical="center" wrapText="1"/>
    </xf>
    <xf numFmtId="0" fontId="8" fillId="0" borderId="0" pivotButton="0" quotePrefix="0" xfId="0"/>
    <xf numFmtId="0" fontId="3" fillId="2" borderId="0" applyAlignment="1" pivotButton="0" quotePrefix="0" xfId="0">
      <alignment vertical="center" wrapText="1"/>
    </xf>
    <xf numFmtId="165" fontId="6" fillId="6" borderId="1" applyAlignment="1" pivotButton="0" quotePrefix="0" xfId="0">
      <alignment vertical="center" wrapText="1"/>
    </xf>
    <xf numFmtId="0" fontId="0" fillId="7" borderId="1" applyAlignment="1" pivotButton="0" quotePrefix="0" xfId="0">
      <alignment vertical="center" wrapText="1"/>
    </xf>
    <xf numFmtId="0" fontId="0" fillId="6" borderId="1" applyAlignment="1" pivotButton="0" quotePrefix="0" xfId="0">
      <alignment vertical="center" wrapText="1"/>
    </xf>
    <xf numFmtId="0" fontId="0"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Price per living square foot</a:t>
            </a:r>
          </a:p>
        </rich>
      </tx>
    </title>
    <plotArea>
      <barChart>
        <barDir val="bar"/>
        <grouping val="clustered"/>
        <ser>
          <idx val="0"/>
          <order val="0"/>
          <tx>
            <strRef>
              <f>'Comps'!M1</f>
            </strRef>
          </tx>
          <spPr>
            <a:ln xmlns:a="http://schemas.openxmlformats.org/drawingml/2006/main">
              <a:prstDash val="solid"/>
            </a:ln>
          </spPr>
          <cat>
            <numRef>
              <f>'Comps'!$B$2:$B$12</f>
            </numRef>
          </cat>
          <val>
            <numRef>
              <f>'Comps'!$M$2:$M$12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Dollars per living sq ft</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Address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15</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8"/>
  <sheetViews>
    <sheetView workbookViewId="0">
      <selection activeCell="A1" sqref="A1"/>
    </sheetView>
  </sheetViews>
  <sheetFormatPr baseColWidth="8" defaultRowHeight="15"/>
  <cols>
    <col width="120" customWidth="1" min="1" max="1"/>
  </cols>
  <sheetData>
    <row r="1">
      <c r="A1" s="1" t="inlineStr">
        <is>
          <t>Lakewood Ranch home comparison</t>
        </is>
      </c>
    </row>
    <row r="2" ht="90" customHeight="1">
      <c r="A2" s="2" t="inlineStr">
        <is>
          <t>Add the next house as a new row on the Comps sheet. Set Role to Subject, Active, or Sold. Price per living sq ft and the gap versus 13994 calculate themselves. Yellow cells on Valuation are the only inputs. Use living area, never total under-roof area. 13394 Siena Loop is not a parcel; this file analyzes 13994 Siena Loop. The Permits sheet is the Manatee County check of the agent's equipment dates. Pulled 23 Oct 2026 (Pacific). Desk comparison, not an appraisal.</t>
        </is>
      </c>
    </row>
    <row r="3"/>
    <row r="4"/>
    <row r="5"/>
    <row r="6"/>
    <row r="7"/>
    <row r="8"/>
  </sheetData>
  <mergeCells count="1">
    <mergeCell ref="A2:A8"/>
  </mergeCells>
  <pageMargins left="0.75" right="0.75" top="1" bottom="1" header="0.5" footer="0.5"/>
  <pageSetup orientation="landscape" paperSize="3" fitToHeight="1" fitToWidth="1"/>
  <headerFooter>
    <oddHeader/>
    <oddFooter>&amp;RPage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C23"/>
  <sheetViews>
    <sheetView workbookViewId="0">
      <pane ySplit="1" topLeftCell="A2" activePane="bottomLeft" state="frozen"/>
      <selection pane="bottomLeft" activeCell="A1" sqref="A1"/>
    </sheetView>
  </sheetViews>
  <sheetFormatPr baseColWidth="8" defaultRowHeight="15"/>
  <cols>
    <col width="38" customWidth="1" min="1" max="1"/>
    <col width="28" customWidth="1" min="2" max="2"/>
    <col width="88" customWidth="1" min="3" max="3"/>
  </cols>
  <sheetData>
    <row r="1" ht="32" customHeight="1">
      <c r="A1" s="3" t="inlineStr">
        <is>
          <t>Address analyzed</t>
        </is>
      </c>
      <c r="B1" s="4" t="inlineStr">
        <is>
          <t>13994 Siena Loop</t>
        </is>
      </c>
      <c r="C1" s="4" t="inlineStr">
        <is>
          <t>User typed 13394. No Manatee parcel uses that number. Tax roll also spells the street SIENNA.</t>
        </is>
      </c>
    </row>
    <row r="2" ht="32" customHeight="1">
      <c r="A2" s="3" t="inlineStr">
        <is>
          <t>MLS</t>
        </is>
      </c>
      <c r="B2" s="4" t="inlineStr">
        <is>
          <t>A4704244</t>
        </is>
      </c>
      <c r="C2" s="4" t="inlineStr">
        <is>
          <t>Stellar / My Florida Regional. Listed 4 Sep 2026 by Katina and Kenneth Shanahan, Coldwell Banker.</t>
        </is>
      </c>
    </row>
    <row r="3" ht="32" customHeight="1">
      <c r="A3" s="3" t="inlineStr">
        <is>
          <t>Status as of 23 Oct 2026</t>
        </is>
      </c>
      <c r="B3" s="4" t="inlineStr">
        <is>
          <t>Active, 49 days, two offers rejected</t>
        </is>
      </c>
      <c r="C3" s="4" t="inlineStr">
        <is>
          <t>No price cut. The listing agent told our broker the owners rejected two offers, both under $1,000,000. The amounts were not disclosed.</t>
        </is>
      </c>
    </row>
    <row r="4" ht="32" customHeight="1">
      <c r="A4" s="3" t="inlineStr">
        <is>
          <t>Ask</t>
        </is>
      </c>
      <c r="B4" s="5" t="n">
        <v>1195000</v>
      </c>
      <c r="C4" s="4" t="inlineStr">
        <is>
          <t>No price reduction since the list date.</t>
        </is>
      </c>
    </row>
    <row r="5" ht="32" customHeight="1">
      <c r="A5" s="3" t="inlineStr">
        <is>
          <t>Living area</t>
        </is>
      </c>
      <c r="B5" s="6" t="n">
        <v>2623</v>
      </c>
      <c r="C5" s="4" t="inlineStr">
        <is>
          <t>Public-record living area. This is the denominator for every $/sf figure in this file.</t>
        </is>
      </c>
    </row>
    <row r="6" ht="32" customHeight="1">
      <c r="A6" s="3" t="inlineStr">
        <is>
          <t>Total building area</t>
        </is>
      </c>
      <c r="B6" s="6" t="n">
        <v>3548</v>
      </c>
      <c r="C6" s="4" t="inlineStr">
        <is>
          <t>Garage and lanai are inside this number. Ask divided by 3,548 is about $337/sf and is not comparable.</t>
        </is>
      </c>
    </row>
    <row r="7" ht="32" customHeight="1">
      <c r="A7" s="3" t="inlineStr">
        <is>
          <t>Ask per living sq ft</t>
        </is>
      </c>
      <c r="B7" s="7" t="n">
        <v>455.59</v>
      </c>
      <c r="C7" s="4" t="inlineStr">
        <is>
          <t>1,195,000 / 2,623.</t>
        </is>
      </c>
    </row>
    <row r="8" ht="32" customHeight="1">
      <c r="A8" s="3" t="inlineStr">
        <is>
          <t>Beds / baths</t>
        </is>
      </c>
      <c r="B8" s="4" t="inlineStr">
        <is>
          <t>3 / 3</t>
        </is>
      </c>
      <c r="C8" s="4" t="inlineStr">
        <is>
          <t>The third bath serves the office and the pool. Guest bedrooms share one bath. Office is not a fourth bedroom.</t>
        </is>
      </c>
    </row>
    <row r="9" ht="32" customHeight="1">
      <c r="A9" s="3" t="inlineStr">
        <is>
          <t>Year built / stories</t>
        </is>
      </c>
      <c r="B9" s="4" t="inlineStr">
        <is>
          <t>2006 / one story</t>
        </is>
      </c>
      <c r="C9" s="4" t="inlineStr">
        <is>
          <t>Permit CMP-05031188 completed 28 Feb 2006. Neal Communities of Southwest Florida. Concrete block, tile roof, gas.</t>
        </is>
      </c>
    </row>
    <row r="10" ht="32" customHeight="1">
      <c r="A10" s="3" t="inlineStr">
        <is>
          <t>Lot</t>
        </is>
      </c>
      <c r="B10" s="4" t="inlineStr">
        <is>
          <t>0.23 acres / 9,810 sf</t>
        </is>
      </c>
      <c r="C10" s="4" t="inlineStr">
        <is>
          <t>Lot 47, Block A. Legal: Country Club Village subphase R, Siena, and subphase S, Mizner Reserve.</t>
        </is>
      </c>
    </row>
    <row r="11" ht="32" customHeight="1">
      <c r="A11" s="3" t="inlineStr">
        <is>
          <t>Parcel</t>
        </is>
      </c>
      <c r="B11" s="4" t="inlineStr">
        <is>
          <t>588502359</t>
        </is>
      </c>
      <c r="C11" s="4" t="inlineStr">
        <is>
          <t>Listing says zoning A/WPE. The 2024 Accela record says PD-MU. Flood zone X on both.</t>
        </is>
      </c>
    </row>
    <row r="12" ht="32" customHeight="1">
      <c r="A12" s="3" t="inlineStr">
        <is>
          <t>Owners of record</t>
        </is>
      </c>
      <c r="B12" s="4" t="inlineStr">
        <is>
          <t>Timothy P. and Shannon L. Moriarty</t>
        </is>
      </c>
      <c r="C12" s="4" t="inlineStr">
        <is>
          <t>Homestead and Additional Homestead. Mortgage escrow is PHH. Public tax roll.</t>
        </is>
      </c>
    </row>
    <row r="13" ht="32" customHeight="1">
      <c r="A13" s="3" t="inlineStr">
        <is>
          <t>Last sale</t>
        </is>
      </c>
      <c r="B13" s="5" t="n">
        <v>445000</v>
      </c>
      <c r="C13" s="4" t="inlineStr">
        <is>
          <t>Sold 21 May 2020, prior MLS A4436936. Listed 24 May 2019 at $540,000 and cut five times.</t>
        </is>
      </c>
    </row>
    <row r="14" ht="32" customHeight="1">
      <c r="A14" s="3" t="inlineStr">
        <is>
          <t>2025 market / assessed</t>
        </is>
      </c>
      <c r="B14" s="4" t="inlineStr">
        <is>
          <t>713184 / 692095</t>
        </is>
      </c>
      <c r="C14" s="4" t="inlineStr">
        <is>
          <t>Save Our Homes keeps assessed value under market value. Market value is still far under the ask.</t>
        </is>
      </c>
    </row>
    <row r="15" ht="32" customHeight="1">
      <c r="A15" s="3" t="inlineStr">
        <is>
          <t>2025 tax bill</t>
        </is>
      </c>
      <c r="B15" s="7" t="n">
        <v>13012.6</v>
      </c>
      <c r="C15" s="4" t="inlineStr">
        <is>
          <t>Paid 1 Dec 2025 from escrow, $12,492.10 after discount. Bill includes the CDD.</t>
        </is>
      </c>
    </row>
    <row r="16" ht="32" customHeight="1">
      <c r="A16" s="3" t="inlineStr">
        <is>
          <t>Of which ad valorem</t>
        </is>
      </c>
      <c r="B16" s="7" t="n">
        <v>9244.01</v>
      </c>
      <c r="C16" s="4" t="inlineStr">
        <is>
          <t>Millage 14.160 combined. School exemption $25,000. Non-school exemption $50,722.</t>
        </is>
      </c>
    </row>
    <row r="17" ht="32" customHeight="1">
      <c r="A17" s="3" t="inlineStr">
        <is>
          <t>Of which non-ad valorem</t>
        </is>
      </c>
      <c r="B17" s="7" t="n">
        <v>3768.59</v>
      </c>
      <c r="C17" s="4" t="inlineStr">
        <is>
          <t>CDD 5 operations $3,165.87, CDD debt $330.66, East Manatee fire $272.06.</t>
        </is>
      </c>
    </row>
    <row r="18" ht="32" customHeight="1">
      <c r="A18" s="3" t="inlineStr">
        <is>
          <t>MLS association fee</t>
        </is>
      </c>
      <c r="B18" s="5" t="n">
        <v>135</v>
      </c>
      <c r="C18" s="4" t="inlineStr">
        <is>
          <t>Per year, Lakewood Ranch Town Hall. This is not the Siena maintenance fee. Neighbors disclose $175–$188 per month.</t>
        </is>
      </c>
    </row>
    <row r="19" ht="32" customHeight="1">
      <c r="A19" s="3" t="inlineStr">
        <is>
          <t>Roof</t>
        </is>
      </c>
      <c r="B19" s="4" t="inlineStr">
        <is>
          <t>Original tile, completed 28 Feb 2006</t>
        </is>
      </c>
      <c r="C19" s="4" t="inlineStr">
        <is>
          <t>CMP-05031188. No reroof permit in the 2006–2018 archive or the live GIS layer. The agent's 20-year age matches. Planning range to replace tile is $40,000–$80,000, not a bid.</t>
        </is>
      </c>
    </row>
    <row r="20" ht="32" customHeight="1">
      <c r="A20" s="3" t="inlineStr">
        <is>
          <t>HVAC</t>
        </is>
      </c>
      <c r="B20" s="4" t="inlineStr">
        <is>
          <t>One permitted changeout, 30 May 2024</t>
        </is>
      </c>
      <c r="C20" s="4" t="inlineStr">
        <is>
          <t>BLD2405-3790, like for like, $9,524, Arctic Air. GIS certificate date 22 May 2026. Accela lists no completed inspections. No permit was found for the agent's 2017 system.</t>
        </is>
      </c>
    </row>
    <row r="21" ht="32" customHeight="1">
      <c r="A21" s="3" t="inlineStr">
        <is>
          <t>Pool</t>
        </is>
      </c>
      <c r="B21" s="4" t="inlineStr">
        <is>
          <t>Original pool and cage, 2006</t>
        </is>
      </c>
      <c r="C21" s="4" t="inlineStr">
        <is>
          <t>Pool completed 25 May 2006 (CMP-05070213). Mansard cage completed 7 Mar 2006 (CMP-06011072). No 2020 heater permit was found.</t>
        </is>
      </c>
    </row>
    <row r="22" ht="32" customHeight="1">
      <c r="A22" s="3" t="inlineStr">
        <is>
          <t>Orientation</t>
        </is>
      </c>
      <c r="B22" s="4" t="inlineStr">
        <is>
          <t>Front faces east</t>
        </is>
      </c>
      <c r="C22" s="4" t="inlineStr">
        <is>
          <t>Photo captions describe a west-facing lanai and sunsets. Consistent with a rear-west plan.</t>
        </is>
      </c>
    </row>
    <row r="23" ht="32" customHeight="1">
      <c r="A23" s="3" t="inlineStr">
        <is>
          <t>Schools</t>
        </is>
      </c>
      <c r="B23" s="4" t="inlineStr">
        <is>
          <t>Willis / Nolan / Lakewood Ranch High</t>
        </is>
      </c>
      <c r="C23" s="4" t="inlineStr">
        <is>
          <t>Public assignment. Confirm boundaries before relying on them.</t>
        </is>
      </c>
    </row>
  </sheetData>
  <autoFilter ref="A1:C23"/>
  <pageMargins left="0.75" right="0.75" top="1" bottom="1" header="0.5" footer="0.5"/>
  <pageSetup orientation="landscape" paperSize="3" fitToHeight="1" fitToWidth="1"/>
  <headerFooter>
    <oddHeader>&amp;L13994 Siena Loop desk file</oddHeader>
    <oddFooter>&amp;RPage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S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8" customWidth="1" min="3" max="3"/>
    <col width="14" customWidth="1" min="4" max="4"/>
    <col width="14" customWidth="1" min="5" max="5"/>
    <col width="16" customWidth="1" min="6" max="6"/>
    <col width="8" customWidth="1" min="7" max="7"/>
    <col width="12" customWidth="1" min="8" max="8"/>
    <col width="12" customWidth="1" min="9" max="9"/>
    <col width="8" customWidth="1" min="10" max="10"/>
    <col width="12" customWidth="1" min="11" max="11"/>
    <col width="18" customWidth="1" min="12" max="12"/>
    <col width="14" customWidth="1" min="13" max="13"/>
    <col width="18" customWidth="1" min="14" max="14"/>
    <col width="18" customWidth="1" min="15" max="15"/>
    <col width="16" customWidth="1" min="16" max="16"/>
    <col width="62" customWidth="1" min="17" max="17"/>
    <col width="32" customWidth="1" min="18" max="18"/>
    <col hidden="1" width="13" customWidth="1" min="19" max="19"/>
  </cols>
  <sheetData>
    <row r="1" ht="32" customHeight="1">
      <c r="A1" s="8" t="inlineStr">
        <is>
          <t>Role</t>
        </is>
      </c>
      <c r="B1" s="8" t="inlineStr">
        <is>
          <t>Address</t>
        </is>
      </c>
      <c r="C1" s="8" t="inlineStr">
        <is>
          <t>Status</t>
        </is>
      </c>
      <c r="D1" s="8" t="inlineStr">
        <is>
          <t>As of</t>
        </is>
      </c>
      <c r="E1" s="8" t="inlineStr">
        <is>
          <t>Price</t>
        </is>
      </c>
      <c r="F1" s="8" t="inlineStr">
        <is>
          <t>Original ask</t>
        </is>
      </c>
      <c r="G1" s="8" t="inlineStr">
        <is>
          <t>Beds</t>
        </is>
      </c>
      <c r="H1" s="8" t="inlineStr">
        <is>
          <t>Baths</t>
        </is>
      </c>
      <c r="I1" s="8" t="inlineStr">
        <is>
          <t>Living sf</t>
        </is>
      </c>
      <c r="J1" s="8" t="inlineStr">
        <is>
          <t>Year</t>
        </is>
      </c>
      <c r="K1" s="8" t="inlineStr">
        <is>
          <t>Lot acres</t>
        </is>
      </c>
      <c r="L1" s="8" t="inlineStr">
        <is>
          <t>View</t>
        </is>
      </c>
      <c r="M1" s="8" t="inlineStr">
        <is>
          <t>$ / living sf</t>
        </is>
      </c>
      <c r="N1" s="8" t="inlineStr">
        <is>
          <t>Gap vs subject $</t>
        </is>
      </c>
      <c r="O1" s="8" t="inlineStr">
        <is>
          <t>Gap vs subject $/sf</t>
        </is>
      </c>
      <c r="P1" s="8" t="inlineStr">
        <is>
          <t>Subject premium</t>
        </is>
      </c>
      <c r="Q1" s="8" t="inlineStr">
        <is>
          <t>Updates</t>
        </is>
      </c>
      <c r="R1" s="8" t="inlineStr">
        <is>
          <t>Source</t>
        </is>
      </c>
      <c r="S1" s="9" t="inlineStr">
        <is>
          <t>Sold $/sf helper</t>
        </is>
      </c>
    </row>
    <row r="2" ht="36" customHeight="1">
      <c r="A2" s="10" t="inlineStr">
        <is>
          <t>Subject</t>
        </is>
      </c>
      <c r="B2" s="10" t="inlineStr">
        <is>
          <t>13994 Siena Loop</t>
        </is>
      </c>
      <c r="C2" s="10" t="inlineStr">
        <is>
          <t>Active</t>
        </is>
      </c>
      <c r="D2" s="10" t="inlineStr">
        <is>
          <t>2026-10-23</t>
        </is>
      </c>
      <c r="E2" s="11" t="n">
        <v>1195000</v>
      </c>
      <c r="F2" s="11" t="n">
        <v>1195000</v>
      </c>
      <c r="G2" s="10" t="n">
        <v>3</v>
      </c>
      <c r="H2" s="10" t="inlineStr">
        <is>
          <t>3</t>
        </is>
      </c>
      <c r="I2" s="12" t="n">
        <v>2623</v>
      </c>
      <c r="J2" s="10" t="n">
        <v>2006</v>
      </c>
      <c r="K2" s="10" t="n">
        <v>0.23</v>
      </c>
      <c r="L2" s="10" t="inlineStr">
        <is>
          <t>Golf and lake</t>
        </is>
      </c>
      <c r="M2" s="13">
        <f>IF(I2="","",E2/I2)</f>
        <v/>
      </c>
      <c r="N2" s="11">
        <f>IF(E2="","",$E$2-E2)</f>
        <v/>
      </c>
      <c r="O2" s="13">
        <f>IF(M2="","",$M$2-M2)</f>
        <v/>
      </c>
      <c r="P2" s="14">
        <f>IF(OR(E2="",E2=0),"",($E$2-E2)/E2)</f>
        <v/>
      </c>
      <c r="Q2" s="10" t="inlineStr">
        <is>
          <t>Permits: original tile roof completed 28 Feb 2006 (CMP-05031188). One HVAC changeout issued 30 May 2024 (BLD2405-3790). No 2017 HVAC permit and no 2020 pool-heater permit.</t>
        </is>
      </c>
      <c r="R2" s="10" t="inlineStr">
        <is>
          <t>MLS A4704244</t>
        </is>
      </c>
      <c r="S2" s="15">
        <f>IF(A2="Sold",M2,NA())</f>
        <v/>
      </c>
    </row>
    <row r="3" ht="36" customHeight="1">
      <c r="A3" s="16" t="inlineStr">
        <is>
          <t>Active</t>
        </is>
      </c>
      <c r="B3" s="16" t="inlineStr">
        <is>
          <t>13978 Siena Loop</t>
        </is>
      </c>
      <c r="C3" s="16" t="inlineStr">
        <is>
          <t>Under contract, backups</t>
        </is>
      </c>
      <c r="D3" s="16" t="inlineStr">
        <is>
          <t>2026-10-23</t>
        </is>
      </c>
      <c r="E3" s="17" t="n">
        <v>899000</v>
      </c>
      <c r="F3" s="17" t="n">
        <v>899000</v>
      </c>
      <c r="G3" s="16" t="n">
        <v>3</v>
      </c>
      <c r="H3" s="16" t="inlineStr">
        <is>
          <t>3</t>
        </is>
      </c>
      <c r="I3" s="18" t="n">
        <v>2673</v>
      </c>
      <c r="J3" s="16" t="n">
        <v>2004</v>
      </c>
      <c r="K3" s="16" t="n">
        <v>0.21</v>
      </c>
      <c r="L3" s="16" t="inlineStr">
        <is>
          <t>Golf and lake</t>
        </is>
      </c>
      <c r="M3" s="19">
        <f>IF(I3="","",E3/I3)</f>
        <v/>
      </c>
      <c r="N3" s="17">
        <f>IF(E3="","",$E$2-E3)</f>
        <v/>
      </c>
      <c r="O3" s="19">
        <f>IF(M3="","",$M$2-M3)</f>
        <v/>
      </c>
      <c r="P3" s="20">
        <f>IF(OR(E3="",E3=0),"",($E$2-E3)/E3)</f>
        <v/>
      </c>
      <c r="Q3" s="16" t="inlineStr">
        <is>
          <t>4-ton 16 SEER AC replaced Apr 2026; softener; new pool coping and tile</t>
        </is>
      </c>
      <c r="R3" s="16" t="inlineStr">
        <is>
          <t>MLS A4705315</t>
        </is>
      </c>
      <c r="S3" s="15">
        <f>IF(A3="Sold",M3,NA())</f>
        <v/>
      </c>
    </row>
    <row r="4" ht="36" customHeight="1">
      <c r="A4" s="16" t="inlineStr">
        <is>
          <t>Active</t>
        </is>
      </c>
      <c r="B4" s="16" t="inlineStr">
        <is>
          <t>13853 Siena Loop</t>
        </is>
      </c>
      <c r="C4" s="16" t="inlineStr">
        <is>
          <t>Active</t>
        </is>
      </c>
      <c r="D4" s="16" t="inlineStr">
        <is>
          <t>2026-04-28</t>
        </is>
      </c>
      <c r="E4" s="17" t="n">
        <v>774000</v>
      </c>
      <c r="F4" s="17" t="n">
        <v>779000</v>
      </c>
      <c r="G4" s="16" t="n">
        <v>3</v>
      </c>
      <c r="H4" s="16" t="inlineStr">
        <is>
          <t>2 + office</t>
        </is>
      </c>
      <c r="I4" s="18" t="n">
        <v>2321</v>
      </c>
      <c r="J4" s="16" t="n">
        <v>2005</v>
      </c>
      <c r="K4" s="16" t="n"/>
      <c r="L4" s="16" t="inlineStr">
        <is>
          <t>Pond</t>
        </is>
      </c>
      <c r="M4" s="19">
        <f>IF(I4="","",E4/I4)</f>
        <v/>
      </c>
      <c r="N4" s="17">
        <f>IF(E4="","",$E$2-E4)</f>
        <v/>
      </c>
      <c r="O4" s="19">
        <f>IF(M4="","",$M$2-M4)</f>
        <v/>
      </c>
      <c r="P4" s="20">
        <f>IF(OR(E4="",E4=0),"",($E$2-E4)/E4)</f>
        <v/>
      </c>
      <c r="Q4" s="16" t="inlineStr">
        <is>
          <t>Recent HVAC and water heater; rescreened lanai; saltwater heated pool</t>
        </is>
      </c>
      <c r="R4" s="16" t="inlineStr">
        <is>
          <t>MLS A4666855</t>
        </is>
      </c>
      <c r="S4" s="15">
        <f>IF(A4="Sold",M4,NA())</f>
        <v/>
      </c>
    </row>
    <row r="5" ht="36" customHeight="1">
      <c r="A5" s="16" t="inlineStr">
        <is>
          <t>Active</t>
        </is>
      </c>
      <c r="B5" s="16" t="inlineStr">
        <is>
          <t>13860 Siena Loop</t>
        </is>
      </c>
      <c r="C5" s="16" t="inlineStr">
        <is>
          <t>Active</t>
        </is>
      </c>
      <c r="D5" s="16" t="inlineStr">
        <is>
          <t>2026-09-09</t>
        </is>
      </c>
      <c r="E5" s="17" t="n">
        <v>949999</v>
      </c>
      <c r="F5" s="17" t="n">
        <v>1056000</v>
      </c>
      <c r="G5" s="16" t="n">
        <v>3</v>
      </c>
      <c r="H5" s="16" t="inlineStr">
        <is>
          <t>3.5</t>
        </is>
      </c>
      <c r="I5" s="18" t="n">
        <v>3187</v>
      </c>
      <c r="J5" s="16" t="n"/>
      <c r="K5" s="16" t="n">
        <v>0.21</v>
      </c>
      <c r="L5" s="16" t="inlineStr">
        <is>
          <t>Country club</t>
        </is>
      </c>
      <c r="M5" s="19">
        <f>IF(I5="","",E5/I5)</f>
        <v/>
      </c>
      <c r="N5" s="17">
        <f>IF(E5="","",$E$2-E5)</f>
        <v/>
      </c>
      <c r="O5" s="19">
        <f>IF(M5="","",$M$2-M5)</f>
        <v/>
      </c>
      <c r="P5" s="20">
        <f>IF(OR(E5="",E5=0),"",($E$2-E5)/E5)</f>
        <v/>
      </c>
      <c r="Q5" s="16" t="inlineStr">
        <is>
          <t>Lennox AC 2024; water heater 2025. Original ask inferred from a reported 5.4% cut to $999,000</t>
        </is>
      </c>
      <c r="R5" s="16" t="inlineStr">
        <is>
          <t>MLS TB8526072</t>
        </is>
      </c>
      <c r="S5" s="15">
        <f>IF(A5="Sold",M5,NA())</f>
        <v/>
      </c>
    </row>
    <row r="6" ht="36" customHeight="1">
      <c r="A6" s="16" t="inlineStr">
        <is>
          <t>Active</t>
        </is>
      </c>
      <c r="B6" s="16" t="inlineStr">
        <is>
          <t>13911 Siena Loop</t>
        </is>
      </c>
      <c r="C6" s="16" t="inlineStr">
        <is>
          <t>Active</t>
        </is>
      </c>
      <c r="D6" s="16" t="inlineStr">
        <is>
          <t>2026-08-20</t>
        </is>
      </c>
      <c r="E6" s="17" t="n">
        <v>995000</v>
      </c>
      <c r="F6" s="17" t="n">
        <v>1295000</v>
      </c>
      <c r="G6" s="16" t="n">
        <v>4</v>
      </c>
      <c r="H6" s="16" t="inlineStr">
        <is>
          <t>3.5</t>
        </is>
      </c>
      <c r="I6" s="18" t="n">
        <v>3216</v>
      </c>
      <c r="J6" s="16" t="n">
        <v>2004</v>
      </c>
      <c r="K6" s="16" t="n">
        <v>0.27</v>
      </c>
      <c r="L6" s="16" t="inlineStr">
        <is>
          <t>Lake</t>
        </is>
      </c>
      <c r="M6" s="19">
        <f>IF(I6="","",E6/I6)</f>
        <v/>
      </c>
      <c r="N6" s="17">
        <f>IF(E6="","",$E$2-E6)</f>
        <v/>
      </c>
      <c r="O6" s="19">
        <f>IF(M6="","",$M$2-M6)</f>
        <v/>
      </c>
      <c r="P6" s="20">
        <f>IF(OR(E6="",E6=0),"",($E$2-E6)/E6)</f>
        <v/>
      </c>
      <c r="Q6" s="16" t="inlineStr">
        <is>
          <t>AC 2024; pool heater 2023; 3-car garage; outdoor kitchen. Remarks say 3–4 bedrooms because of a media room. Listed 16 Jan 2026</t>
        </is>
      </c>
      <c r="R6" s="16" t="inlineStr">
        <is>
          <t>MLS A4678185</t>
        </is>
      </c>
      <c r="S6" s="15">
        <f>IF(A6="Sold",M6,NA())</f>
        <v/>
      </c>
    </row>
    <row r="7" ht="36" customHeight="1">
      <c r="A7" s="21" t="inlineStr">
        <is>
          <t>Sold</t>
        </is>
      </c>
      <c r="B7" s="21" t="inlineStr">
        <is>
          <t>13828 Siena Loop</t>
        </is>
      </c>
      <c r="C7" s="21" t="inlineStr">
        <is>
          <t>Sold 2026-06-01</t>
        </is>
      </c>
      <c r="D7" s="21" t="inlineStr">
        <is>
          <t>2026-06-01</t>
        </is>
      </c>
      <c r="E7" s="22" t="n">
        <v>799000</v>
      </c>
      <c r="F7" s="22" t="n">
        <v>820000</v>
      </c>
      <c r="G7" s="21" t="n">
        <v>3</v>
      </c>
      <c r="H7" s="21" t="inlineStr">
        <is>
          <t>2 + office</t>
        </is>
      </c>
      <c r="I7" s="23" t="n">
        <v>2311</v>
      </c>
      <c r="J7" s="21" t="n">
        <v>2003</v>
      </c>
      <c r="K7" s="21" t="n">
        <v>0.18</v>
      </c>
      <c r="L7" s="21" t="inlineStr">
        <is>
          <t>Golf, rear view</t>
        </is>
      </c>
      <c r="M7" s="24">
        <f>IF(I7="","",E7/I7)</f>
        <v/>
      </c>
      <c r="N7" s="22">
        <f>IF(E7="","",$E$2-E7)</f>
        <v/>
      </c>
      <c r="O7" s="24">
        <f>IF(M7="","",$M$2-M7)</f>
        <v/>
      </c>
      <c r="P7" s="25">
        <f>IF(OR(E7="",E7=0),"",($E$2-E7)/E7)</f>
        <v/>
      </c>
      <c r="Q7" s="21" t="inlineStr">
        <is>
          <t>Brand-new tile roof; new pool heater; cage rescreened and repainted; outdoor kitchen</t>
        </is>
      </c>
      <c r="R7" s="21" t="inlineStr">
        <is>
          <t>MLS A4687316</t>
        </is>
      </c>
      <c r="S7" s="15">
        <f>IF(A7="Sold",M7,NA())</f>
        <v/>
      </c>
    </row>
    <row r="8" ht="36" customHeight="1">
      <c r="A8" s="21" t="inlineStr">
        <is>
          <t>Sold</t>
        </is>
      </c>
      <c r="B8" s="21" t="inlineStr">
        <is>
          <t>13804 Siena Loop</t>
        </is>
      </c>
      <c r="C8" s="21" t="inlineStr">
        <is>
          <t>Sold 2026-06-12</t>
        </is>
      </c>
      <c r="D8" s="21" t="inlineStr">
        <is>
          <t>2026-06-12</t>
        </is>
      </c>
      <c r="E8" s="22" t="n">
        <v>790000</v>
      </c>
      <c r="F8" s="22" t="n"/>
      <c r="G8" s="21" t="n">
        <v>3</v>
      </c>
      <c r="H8" s="21" t="inlineStr">
        <is>
          <t>2 + office</t>
        </is>
      </c>
      <c r="I8" s="23" t="n">
        <v>2319</v>
      </c>
      <c r="J8" s="21" t="n">
        <v>2005</v>
      </c>
      <c r="K8" s="21" t="n">
        <v>0.35</v>
      </c>
      <c r="L8" s="21" t="inlineStr">
        <is>
          <t>Pond, near golf</t>
        </is>
      </c>
      <c r="M8" s="24">
        <f>IF(I8="","",E8/I8)</f>
        <v/>
      </c>
      <c r="N8" s="22">
        <f>IF(E8="","",$E$2-E8)</f>
        <v/>
      </c>
      <c r="O8" s="24">
        <f>IF(M8="","",$M$2-M8)</f>
        <v/>
      </c>
      <c r="P8" s="25">
        <f>IF(OR(E8="",E8=0),"",($E$2-E8)/E8)</f>
        <v/>
      </c>
      <c r="Q8" s="21" t="inlineStr">
        <is>
          <t>Renovated kitchen, quartzite, outdoor kitchen, heated pool. Oversized cul-de-sac lot</t>
        </is>
      </c>
      <c r="R8" s="21" t="inlineStr">
        <is>
          <t>MLS A4691647</t>
        </is>
      </c>
      <c r="S8" s="15">
        <f>IF(A8="Sold",M8,NA())</f>
        <v/>
      </c>
    </row>
    <row r="9" ht="36" customHeight="1">
      <c r="A9" s="21" t="inlineStr">
        <is>
          <t>Sold</t>
        </is>
      </c>
      <c r="B9" s="21" t="inlineStr">
        <is>
          <t>13987 Siena Loop</t>
        </is>
      </c>
      <c r="C9" s="21" t="inlineStr">
        <is>
          <t>Sold week of 2026-08-03</t>
        </is>
      </c>
      <c r="D9" s="21" t="inlineStr">
        <is>
          <t>2026-08-07</t>
        </is>
      </c>
      <c r="E9" s="22" t="n">
        <v>760000</v>
      </c>
      <c r="F9" s="22" t="n"/>
      <c r="G9" s="21" t="n">
        <v>3</v>
      </c>
      <c r="H9" s="21" t="inlineStr">
        <is>
          <t>2</t>
        </is>
      </c>
      <c r="I9" s="23" t="n">
        <v>2289</v>
      </c>
      <c r="J9" s="21" t="n">
        <v>2003</v>
      </c>
      <c r="K9" s="21" t="n"/>
      <c r="L9" s="21" t="inlineStr">
        <is>
          <t>Siena Loop</t>
        </is>
      </c>
      <c r="M9" s="24">
        <f>IF(I9="","",E9/I9)</f>
        <v/>
      </c>
      <c r="N9" s="22">
        <f>IF(E9="","",$E$2-E9)</f>
        <v/>
      </c>
      <c r="O9" s="24">
        <f>IF(M9="","",$M$2-M9)</f>
        <v/>
      </c>
      <c r="P9" s="25">
        <f>IF(OR(E9="",E9=0),"",($E$2-E9)/E9)</f>
        <v/>
      </c>
      <c r="Q9" s="21" t="inlineStr">
        <is>
          <t>Pool. Prior sale $810,000 in 2023, so this sale was a loss</t>
        </is>
      </c>
      <c r="R9" s="21" t="inlineStr">
        <is>
          <t>Your Observer, 18 Aug 2026</t>
        </is>
      </c>
      <c r="S9" s="15">
        <f>IF(A9="Sold",M9,NA())</f>
        <v/>
      </c>
    </row>
    <row r="10" ht="36" customHeight="1">
      <c r="A10" s="21" t="inlineStr">
        <is>
          <t>Sold</t>
        </is>
      </c>
      <c r="B10" s="21" t="inlineStr">
        <is>
          <t>13876 Siena Loop</t>
        </is>
      </c>
      <c r="C10" s="21" t="inlineStr">
        <is>
          <t>Sold 2026-04-30</t>
        </is>
      </c>
      <c r="D10" s="21" t="inlineStr">
        <is>
          <t>2026-04-30</t>
        </is>
      </c>
      <c r="E10" s="22" t="n">
        <v>775000</v>
      </c>
      <c r="F10" s="22" t="n">
        <v>849000</v>
      </c>
      <c r="G10" s="21" t="n">
        <v>3</v>
      </c>
      <c r="H10" s="21" t="inlineStr">
        <is>
          <t>3.5</t>
        </is>
      </c>
      <c r="I10" s="23" t="n">
        <v>2610</v>
      </c>
      <c r="J10" s="21" t="n">
        <v>2004</v>
      </c>
      <c r="K10" s="21" t="n">
        <v>0.21</v>
      </c>
      <c r="L10" s="21" t="inlineStr">
        <is>
          <t>Siena Loop</t>
        </is>
      </c>
      <c r="M10" s="24">
        <f>IF(I10="","",E10/I10)</f>
        <v/>
      </c>
      <c r="N10" s="22">
        <f>IF(E10="","",$E$2-E10)</f>
        <v/>
      </c>
      <c r="O10" s="24">
        <f>IF(M10="","",$M$2-M10)</f>
        <v/>
      </c>
      <c r="P10" s="25">
        <f>IF(OR(E10="",E10=0),"",($E$2-E10)/E10)</f>
        <v/>
      </c>
      <c r="Q10" s="21" t="inlineStr">
        <is>
          <t>Listed 20 Oct 2025 at $849,000. Closest sold size to the subject</t>
        </is>
      </c>
      <c r="R10" s="21" t="inlineStr">
        <is>
          <t>Stellar MLS via Homefinder</t>
        </is>
      </c>
      <c r="S10" s="15">
        <f>IF(A10="Sold",M10,NA())</f>
        <v/>
      </c>
    </row>
    <row r="11" ht="36" customHeight="1">
      <c r="A11" s="21" t="inlineStr">
        <is>
          <t>Sold</t>
        </is>
      </c>
      <c r="B11" s="21" t="inlineStr">
        <is>
          <t>13861 Siena Loop</t>
        </is>
      </c>
      <c r="C11" s="21" t="inlineStr">
        <is>
          <t>Sold 2026-03-19</t>
        </is>
      </c>
      <c r="D11" s="21" t="inlineStr">
        <is>
          <t>2026-03-19</t>
        </is>
      </c>
      <c r="E11" s="22" t="n">
        <v>610000</v>
      </c>
      <c r="F11" s="22" t="n">
        <v>749000</v>
      </c>
      <c r="G11" s="21" t="n">
        <v>3</v>
      </c>
      <c r="H11" s="21" t="inlineStr">
        <is>
          <t>2</t>
        </is>
      </c>
      <c r="I11" s="23" t="n">
        <v>2134</v>
      </c>
      <c r="J11" s="21" t="n">
        <v>2003</v>
      </c>
      <c r="K11" s="21" t="n">
        <v>0.25</v>
      </c>
      <c r="L11" s="21" t="inlineStr">
        <is>
          <t>Water</t>
        </is>
      </c>
      <c r="M11" s="24">
        <f>IF(I11="","",E11/I11)</f>
        <v/>
      </c>
      <c r="N11" s="22">
        <f>IF(E11="","",$E$2-E11)</f>
        <v/>
      </c>
      <c r="O11" s="24">
        <f>IF(M11="","",$M$2-M11)</f>
        <v/>
      </c>
      <c r="P11" s="25">
        <f>IF(OR(E11="",E11=0),"",($E$2-E11)/E11)</f>
        <v/>
      </c>
      <c r="Q11" s="21" t="inlineStr">
        <is>
          <t>HVAC 2023; pool pump, heater, and pebble surface 2025-26</t>
        </is>
      </c>
      <c r="R11" s="21" t="inlineStr">
        <is>
          <t>MLS A4668432</t>
        </is>
      </c>
      <c r="S11" s="15">
        <f>IF(A11="Sold",M11,NA())</f>
        <v/>
      </c>
    </row>
    <row r="12" ht="36" customHeight="1">
      <c r="A12" s="21" t="inlineStr">
        <is>
          <t>Sold</t>
        </is>
      </c>
      <c r="B12" s="21" t="inlineStr">
        <is>
          <t>13844 Siena Loop</t>
        </is>
      </c>
      <c r="C12" s="21" t="inlineStr">
        <is>
          <t>Sold 2026-01-29</t>
        </is>
      </c>
      <c r="D12" s="21" t="inlineStr">
        <is>
          <t>2026-01-29</t>
        </is>
      </c>
      <c r="E12" s="22" t="n">
        <v>619425</v>
      </c>
      <c r="F12" s="22" t="n">
        <v>699000</v>
      </c>
      <c r="G12" s="21" t="n">
        <v>2</v>
      </c>
      <c r="H12" s="21" t="inlineStr">
        <is>
          <t>2</t>
        </is>
      </c>
      <c r="I12" s="23" t="n">
        <v>2134</v>
      </c>
      <c r="J12" s="21" t="n">
        <v>2003</v>
      </c>
      <c r="K12" s="21" t="n"/>
      <c r="L12" s="21" t="inlineStr">
        <is>
          <t>Siena Loop</t>
        </is>
      </c>
      <c r="M12" s="24">
        <f>IF(I12="","",E12/I12)</f>
        <v/>
      </c>
      <c r="N12" s="22">
        <f>IF(E12="","",$E$2-E12)</f>
        <v/>
      </c>
      <c r="O12" s="24">
        <f>IF(M12="","",$M$2-M12)</f>
        <v/>
      </c>
      <c r="P12" s="25">
        <f>IF(OR(E12="",E12=0),"",($E$2-E12)/E12)</f>
        <v/>
      </c>
      <c r="Q12" s="21" t="inlineStr">
        <is>
          <t>Pool. Smaller 2-bedroom plan</t>
        </is>
      </c>
      <c r="R12" s="21" t="inlineStr">
        <is>
          <t>MLS A4671692</t>
        </is>
      </c>
      <c r="S12" s="15">
        <f>IF(A12="Sold",M12,NA())</f>
        <v/>
      </c>
    </row>
    <row r="14">
      <c r="A14" s="26" t="inlineStr">
        <is>
          <t>Sold median $/sf</t>
        </is>
      </c>
      <c r="B14" s="27">
        <f>AGGREGATE(16,6,S2:S12)</f>
        <v/>
      </c>
    </row>
    <row r="15">
      <c r="A15" t="inlineStr">
        <is>
          <t>Sold count</t>
        </is>
      </c>
      <c r="B15">
        <f>COUNTIF(A2:A12,"Sold")</f>
        <v/>
      </c>
    </row>
  </sheetData>
  <autoFilter ref="A1:R12"/>
  <dataValidations count="1">
    <dataValidation sqref="A2:A32" showDropDown="0" showInputMessage="0" showErrorMessage="0" allowBlank="0" errorTitle="Role" error="Use Subject, Active, or Sold" type="list">
      <formula1>"Subject,Active,Sold"</formula1>
    </dataValidation>
  </dataValidations>
  <pageMargins left="0.75" right="0.75" top="1" bottom="1" header="0.5" footer="0.5"/>
  <pageSetup orientation="landscape" paperSize="3" fitToHeight="1" fitToWidth="1"/>
  <headerFooter>
    <oddHeader>&amp;LSiena Loop comps — living area only</oddHeader>
    <oddFooter>&amp;RPage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C27"/>
  <sheetViews>
    <sheetView workbookViewId="0">
      <selection activeCell="A1" sqref="A1"/>
    </sheetView>
  </sheetViews>
  <sheetFormatPr baseColWidth="8" defaultRowHeight="15"/>
  <cols>
    <col width="42" customWidth="1" min="1" max="1"/>
    <col width="18" customWidth="1" min="2" max="2"/>
    <col width="88" customWidth="1" min="3" max="3"/>
  </cols>
  <sheetData>
    <row r="1">
      <c r="A1" s="28" t="inlineStr">
        <is>
          <t>Desk value</t>
        </is>
      </c>
    </row>
    <row r="2" ht="60" customHeight="1">
      <c r="A2" s="29" t="inlineStr">
        <is>
          <t>Yellow cells are inputs. No offer has been sent. Wait until the list price is under $1,000,000, then write $850,000 to $910,000. The owners rejected two other offers under $1,000,000 and are still asking $1,195,000. The roof is the original tile roof, completed 28 Feb 2006. One HVAC changeout was permitted on 30 May 2024. The agent's 2017 HVAC date and 2020 pool-heater date are not in the public permit file. It is not an appraisal and it is not a prediction of the contract price.</t>
        </is>
      </c>
    </row>
    <row r="4" ht="30" customHeight="1">
      <c r="A4" s="30" t="inlineStr">
        <is>
          <t>Ask</t>
        </is>
      </c>
      <c r="B4" s="5" t="n">
        <v>1195000</v>
      </c>
      <c r="C4" s="4" t="inlineStr">
        <is>
          <t>MLS A4704244</t>
        </is>
      </c>
    </row>
    <row r="5" ht="30" customHeight="1">
      <c r="A5" s="30" t="inlineStr">
        <is>
          <t>Living sf</t>
        </is>
      </c>
      <c r="B5" s="6" t="n">
        <v>2623</v>
      </c>
      <c r="C5" s="4" t="inlineStr">
        <is>
          <t>Public record</t>
        </is>
      </c>
    </row>
    <row r="6" ht="30" customHeight="1">
      <c r="A6" s="30" t="inlineStr">
        <is>
          <t>Ask $/sf</t>
        </is>
      </c>
      <c r="B6" s="7">
        <f>B4/B5</f>
        <v/>
      </c>
      <c r="C6" s="4" t="inlineStr">
        <is>
          <t>Formula</t>
        </is>
      </c>
    </row>
    <row r="7" ht="30" customHeight="1">
      <c r="A7" s="30" t="inlineStr">
        <is>
          <t>2026 sold median $/sf</t>
        </is>
      </c>
      <c r="B7" s="31" t="n">
        <v>314.48</v>
      </c>
      <c r="C7" s="4" t="inlineStr">
        <is>
          <t>Six Siena Loop sales, Jan–Aug 2026</t>
        </is>
      </c>
    </row>
    <row r="8" ht="30" customHeight="1">
      <c r="A8" s="30" t="inlineStr">
        <is>
          <t>13978 contract ask</t>
        </is>
      </c>
      <c r="B8" s="5" t="n">
        <v>899000</v>
      </c>
      <c r="C8" s="4" t="inlineStr">
        <is>
          <t>Same beds, 3 baths, office, golf and lake. Under contract, backups, as of 23 Oct 2026</t>
        </is>
      </c>
    </row>
    <row r="9" ht="30" customHeight="1">
      <c r="A9" s="30" t="inlineStr">
        <is>
          <t>13978 living sf</t>
        </is>
      </c>
      <c r="B9" s="6" t="n">
        <v>2673</v>
      </c>
      <c r="C9" s="4" t="inlineStr">
        <is>
          <t>MLS A4705315</t>
        </is>
      </c>
    </row>
    <row r="10" ht="30" customHeight="1">
      <c r="A10" s="30" t="inlineStr">
        <is>
          <t>13978 $/sf</t>
        </is>
      </c>
      <c r="B10" s="7">
        <f>B8/B9</f>
        <v/>
      </c>
      <c r="C10" s="4" t="inlineStr">
        <is>
          <t>Formula</t>
        </is>
      </c>
    </row>
    <row r="11" ht="30" customHeight="1">
      <c r="A11" s="30" t="inlineStr">
        <is>
          <t>Subject sized at 13978 $/sf</t>
        </is>
      </c>
      <c r="B11" s="5">
        <f>B10*B5</f>
        <v/>
      </c>
      <c r="C11" s="4" t="inlineStr">
        <is>
          <t>What this house costs if it sells at the twin's ask rate</t>
        </is>
      </c>
    </row>
    <row r="12" ht="30" customHeight="1">
      <c r="A12" s="30" t="inlineStr">
        <is>
          <t>Dollars above that twin</t>
        </is>
      </c>
      <c r="B12" s="5">
        <f>B4-B11</f>
        <v/>
      </c>
      <c r="C12" s="4" t="inlineStr">
        <is>
          <t>Ask minus the twin-sized value</t>
        </is>
      </c>
    </row>
    <row r="13" ht="30" customHeight="1">
      <c r="A13" s="30" t="inlineStr">
        <is>
          <t>Opening offer, once listed under $1,000,000</t>
        </is>
      </c>
      <c r="B13" s="32" t="n">
        <v>850000</v>
      </c>
      <c r="C13" s="4" t="inlineStr">
        <is>
          <t>No offer has been sent. This number is what to write after the list price falls under $1,000,000. It is not an offer to send at the current ask.</t>
        </is>
      </c>
    </row>
    <row r="14" ht="30" customHeight="1">
      <c r="A14" s="30" t="inlineStr">
        <is>
          <t>Supported value</t>
        </is>
      </c>
      <c r="B14" s="32" t="n">
        <v>880000</v>
      </c>
      <c r="C14" s="4" t="inlineStr">
        <is>
          <t>About the 13978 contract rate on this living area. One permitted 2024 changeout offsets part of the roof. It does not support a premium, and the unconfirmed 2017 system does not add value.</t>
        </is>
      </c>
    </row>
    <row r="15" ht="30" customHeight="1">
      <c r="A15" s="30" t="inlineStr">
        <is>
          <t>Ceiling once listed under $1,000,000</t>
        </is>
      </c>
      <c r="B15" s="32" t="n">
        <v>910000</v>
      </c>
      <c r="C15" s="4" t="inlineStr">
        <is>
          <t>Top of the offer after the list price is under $1,000,000. Still requires an affordable insurance binder, a roof report that does not require immediate replacement, and a data plate showing the second system is 2017 or newer.</t>
        </is>
      </c>
    </row>
    <row r="16" ht="30" customHeight="1">
      <c r="A16" s="30" t="inlineStr">
        <is>
          <t>Ask vs supported</t>
        </is>
      </c>
      <c r="B16" s="33">
        <f>B4/B14-1</f>
        <v/>
      </c>
      <c r="C16" s="4" t="inlineStr">
        <is>
          <t>Percent the ask sits above the supported value</t>
        </is>
      </c>
    </row>
    <row r="17" ht="30" customHeight="1">
      <c r="A17" s="30" t="inlineStr">
        <is>
          <t>Dollars above supported</t>
        </is>
      </c>
      <c r="B17" s="5">
        <f>B4-B14</f>
        <v/>
      </c>
      <c r="C17" s="4" t="inlineStr">
        <is>
          <t>Gap between the ask and the supported value</t>
        </is>
      </c>
    </row>
    <row r="18" ht="30" customHeight="1">
      <c r="A18" s="30" t="inlineStr">
        <is>
          <t>2020 purchase</t>
        </is>
      </c>
      <c r="B18" s="5" t="n">
        <v>445000</v>
      </c>
      <c r="C18" s="4" t="inlineStr">
        <is>
          <t>21 May 2020. Ask is 2.69 times that price</t>
        </is>
      </c>
    </row>
    <row r="19" ht="30" customHeight="1">
      <c r="A19" s="30" t="inlineStr">
        <is>
          <t>Ask / 2020 price</t>
        </is>
      </c>
      <c r="B19" s="33">
        <f>B4/B18</f>
        <v/>
      </c>
      <c r="C19" s="4" t="inlineStr">
        <is>
          <t>Formula</t>
        </is>
      </c>
    </row>
    <row r="20" ht="30" customHeight="1">
      <c r="A20" s="30" t="inlineStr">
        <is>
          <t>County 2025 market value</t>
        </is>
      </c>
      <c r="B20" s="5" t="n">
        <v>713184</v>
      </c>
      <c r="C20" s="4" t="inlineStr">
        <is>
          <t>Tax roll. Lags renovations. Still the assessor's number, not the ask</t>
        </is>
      </c>
    </row>
    <row r="21" ht="30" customHeight="1">
      <c r="A21" s="30" t="inlineStr">
        <is>
          <t>Ask / county market</t>
        </is>
      </c>
      <c r="B21" s="33">
        <f>B4/B20-1</f>
        <v/>
      </c>
      <c r="C21" s="4" t="inlineStr">
        <is>
          <t>Formula</t>
        </is>
      </c>
    </row>
    <row r="23">
      <c r="A23" s="34" t="inlineStr">
        <is>
          <t>Why the ask does not clear</t>
        </is>
      </c>
    </row>
    <row r="24" ht="36" customHeight="1">
      <c r="A24" s="2" t="inlineStr">
        <is>
          <t>Six 2026 sales on this loop closed from $286 to $346 per living foot, median about $314. The four active neighbors are $298 to $336 per foot. The closest product, 13978, has the same bedroom count, three baths, an office, and a golf-and-lake lot, plus a dated April 2026 air conditioner, and it found a buyer at a $899,000 ask. Sizing that rate to 2,623 feet is about $882,000. 13911 started at $1,295,000 in January 2026, has been cut to $995,000, and was still active in August with more bedrooms, more baths, and a 2024 air conditioner. This house's own 2019 campaign listed at $540,000 and sold at $445,000. The current remarks sell a remodel. The May 2019 remarks already advertised the pool, spa, outdoor kitchen, tile floors, 48-inch cabinets, granite island, and the office bath. Quartz, new cabinet claims, bath glass, a wine bar, an electric fireplace, and a softener can support a finish premium. They do not support $456 per foot. Manatee permits confirm the tile roof is original: CMP-05031188 was completed 28 Feb 2006, and no reroof permit follows it. The only later mechanical permit is BLD2405-3790, a like-for-like HVAC changeout issued 30 May 2024 for $9,524. That is one system. The agent's 2017 air conditioner and 2020 pool heater are not in the county file, so they are not credits. The original roof removes the $1,030,000 case. Supported value is $880,000. On 23 Oct 2026 the listing agent told our broker the owners have rejected two offers, both under $1,000,000. The amounts were not disclosed. The owners are holding a price above the bids buyers will write. No offer has been sent. Wait until the house is listed under $1,000,000, then write $850,000 to $910,000.</t>
        </is>
      </c>
    </row>
    <row r="25" ht="36" customHeight="1"/>
    <row r="26" ht="36" customHeight="1"/>
    <row r="27" ht="36" customHeight="1"/>
  </sheetData>
  <mergeCells count="2">
    <mergeCell ref="A24:C27"/>
    <mergeCell ref="A2:C2"/>
  </mergeCells>
  <pageMargins left="0.75" right="0.75" top="1" bottom="1" header="0.5" footer="0.5"/>
  <pageSetup orientation="landscape" paperSize="3" fitToHeight="1" fitToWidth="1"/>
  <headerFooter>
    <oddHeader>&amp;L13994 Siena Loop valuation</oddHeader>
    <oddFooter>&amp;RPage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2"/>
  <sheetViews>
    <sheetView workbookViewId="0">
      <pane ySplit="3" topLeftCell="A4" activePane="bottomLeft" state="frozen"/>
      <selection pane="bottomLeft" activeCell="A1" sqref="A1"/>
    </sheetView>
  </sheetViews>
  <sheetFormatPr baseColWidth="8" defaultRowHeight="15"/>
  <cols>
    <col width="34" customWidth="1" min="1" max="1"/>
    <col width="22" customWidth="1" min="2" max="2"/>
    <col width="26" customWidth="1" min="3" max="3"/>
    <col width="30" customWidth="1" min="4" max="4"/>
    <col width="78" customWidth="1" min="5" max="5"/>
  </cols>
  <sheetData>
    <row r="1">
      <c r="A1" s="28" t="inlineStr">
        <is>
          <t>Buyer carrying cost versus the seller's bill</t>
        </is>
      </c>
    </row>
    <row r="3">
      <c r="A3" s="35" t="inlineStr">
        <is>
          <t>Item</t>
        </is>
      </c>
      <c r="B3" s="35" t="inlineStr">
        <is>
          <t>Seller today</t>
        </is>
      </c>
      <c r="C3" s="35" t="inlineStr">
        <is>
          <t>Buyer at ask, year 1</t>
        </is>
      </c>
      <c r="D3" s="35" t="inlineStr">
        <is>
          <t>Buyer at mid value, year 1</t>
        </is>
      </c>
      <c r="E3" s="35" t="inlineStr">
        <is>
          <t>Notes</t>
        </is>
      </c>
    </row>
    <row r="4" ht="36" customHeight="1">
      <c r="A4" s="30" t="inlineStr">
        <is>
          <t>Price used</t>
        </is>
      </c>
      <c r="B4" s="5" t="n">
        <v>0</v>
      </c>
      <c r="C4" s="5">
        <f>Valuation!B4</f>
        <v/>
      </c>
      <c r="D4" s="5">
        <f>Valuation!B14</f>
        <v/>
      </c>
      <c r="E4" s="4" t="inlineStr">
        <is>
          <t>Seller price cell is blank on purpose. The seller already owns the house.</t>
        </is>
      </c>
    </row>
    <row r="5" ht="36" customHeight="1">
      <c r="A5" s="30" t="inlineStr">
        <is>
          <t>Ad valorem, no homestead</t>
        </is>
      </c>
      <c r="B5" s="7" t="n">
        <v>9244.01</v>
      </c>
      <c r="C5" s="7">
        <f>C4*14.16/1000</f>
        <v/>
      </c>
      <c r="D5" s="7">
        <f>D4*14.16/1000</f>
        <v/>
      </c>
      <c r="E5" s="4" t="inlineStr">
        <is>
          <t>Year-of-purchase estimate if the buyer does not have homestead on 1 Jan. Seller figure is the actual 2025 ad valorem, after homestead and Save Our Homes.</t>
        </is>
      </c>
    </row>
    <row r="6" ht="36" customHeight="1">
      <c r="A6" s="30" t="inlineStr">
        <is>
          <t>Non-ad valorem</t>
        </is>
      </c>
      <c r="B6" s="7" t="n">
        <v>3768.59</v>
      </c>
      <c r="C6" s="7" t="n">
        <v>3768.59</v>
      </c>
      <c r="D6" s="7" t="n">
        <v>3768.59</v>
      </c>
      <c r="E6" s="4" t="inlineStr">
        <is>
          <t>2025 bill. CDD operations can move. Proposed FY2026/27 Siena CDD total is $3,781.92 versus $3,496.53 billed.</t>
        </is>
      </c>
    </row>
    <row r="7" ht="32" customHeight="1">
      <c r="A7" s="30" t="inlineStr">
        <is>
          <t>Tax bill</t>
        </is>
      </c>
      <c r="B7" s="36">
        <f>B5+B6</f>
        <v/>
      </c>
      <c r="C7" s="36">
        <f>C5+C6</f>
        <v/>
      </c>
      <c r="D7" s="36">
        <f>D5+D6</f>
        <v/>
      </c>
      <c r="E7" s="4" t="inlineStr">
        <is>
          <t>Seller combined bill was $13,012.60. Early-pay discount made the December draft $12,492.10.</t>
        </is>
      </c>
    </row>
    <row r="8" ht="36" customHeight="1">
      <c r="A8" s="30" t="inlineStr">
        <is>
          <t>Homestead tax, year 2</t>
        </is>
      </c>
      <c r="B8" s="7" t="n">
        <v>13012.6</v>
      </c>
      <c r="C8" s="7">
        <f>MAX(C4-25000,0)*6.304/1000+MAX(C4-50000,0)*7.856/1000+C6</f>
        <v/>
      </c>
      <c r="D8" s="7">
        <f>MAX(D4-25000,0)*6.304/1000+MAX(D4-50000,0)*7.856/1000+D6</f>
        <v/>
      </c>
      <c r="E8" s="4" t="inlineStr">
        <is>
          <t>Assumes a new homestead and no portability. A buyer who ports a Florida homestead cap pays less. School mills 6.304. Other mills 7.856.</t>
        </is>
      </c>
    </row>
    <row r="9" ht="36" customHeight="1">
      <c r="A9" s="30" t="inlineStr">
        <is>
          <t>Town Hall fee</t>
        </is>
      </c>
      <c r="B9" s="7" t="n">
        <v>135</v>
      </c>
      <c r="C9" s="7" t="n">
        <v>135</v>
      </c>
      <c r="D9" s="7" t="n">
        <v>135</v>
      </c>
      <c r="E9" s="4" t="inlineStr">
        <is>
          <t>The only association dollar in this MLS. Annual.</t>
        </is>
      </c>
    </row>
    <row r="10" ht="36" customHeight="1">
      <c r="A10" s="30" t="inlineStr">
        <is>
          <t>Siena maintenance, planning</t>
        </is>
      </c>
      <c r="B10" s="7" t="n">
        <v>2232</v>
      </c>
      <c r="C10" s="7">
        <f>B10</f>
        <v/>
      </c>
      <c r="D10" s="7">
        <f>B10</f>
        <v/>
      </c>
      <c r="E10" s="4" t="inlineStr">
        <is>
          <t>Not on this listing. 13828 disclosed $186 per month and 13804 disclosed $188. 13853 disclosed $175. Confirm on the estoppel.</t>
        </is>
      </c>
    </row>
    <row r="11" ht="36" customHeight="1">
      <c r="A11" s="30" t="inlineStr">
        <is>
          <t>Insurance</t>
        </is>
      </c>
      <c r="B11" s="4" t="inlineStr">
        <is>
          <t>Unknown</t>
        </is>
      </c>
      <c r="C11" s="4" t="inlineStr">
        <is>
          <t>Quote before offer</t>
        </is>
      </c>
      <c r="D11" s="4" t="inlineStr">
        <is>
          <t>Quote before offer</t>
        </is>
      </c>
      <c r="E11" s="4" t="inlineStr">
        <is>
          <t>A 2006 tile roof with unknown underlayment is the variable. Get a binder quote, not a rule-of-thumb.</t>
        </is>
      </c>
    </row>
    <row r="12" ht="36" customHeight="1">
      <c r="A12" s="30" t="inlineStr">
        <is>
          <t>Club membership</t>
        </is>
      </c>
      <c r="B12" s="4" t="inlineStr">
        <is>
          <t>Optional</t>
        </is>
      </c>
      <c r="C12" s="4" t="inlineStr">
        <is>
          <t>Optional</t>
        </is>
      </c>
      <c r="D12" s="4" t="inlineStr">
        <is>
          <t>Optional</t>
        </is>
      </c>
      <c r="E12" s="4" t="inlineStr">
        <is>
          <t>2026 packet: Premier golf $110,000 initiation and $1,360 per month; Sports $15,000 and $430; Social $6,000 and $185. Not required to buy the house. Does not transfer with the deed.</t>
        </is>
      </c>
    </row>
  </sheetData>
  <pageMargins left="0.75" right="0.75" top="1" bottom="1" header="0.5" footer="0.5"/>
  <pageSetup orientation="landscape" paperSize="3" fitToHeight="1" fitToWidth="1"/>
  <headerFooter>
    <oddHeader>&amp;LCarrying costs</oddHeader>
    <oddFooter>&amp;RPage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20"/>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55" customWidth="1" min="3" max="3"/>
    <col width="62" customWidth="1" min="4" max="4"/>
  </cols>
  <sheetData>
    <row r="1">
      <c r="A1" s="35" t="inlineStr">
        <is>
          <t>Item</t>
        </is>
      </c>
      <c r="B1" s="35" t="inlineStr">
        <is>
          <t>What the 2026 listing says</t>
        </is>
      </c>
      <c r="C1" s="35" t="inlineStr">
        <is>
          <t>What the 2019 listing already said</t>
        </is>
      </c>
      <c r="D1" s="35" t="inlineStr">
        <is>
          <t>Treat as</t>
        </is>
      </c>
    </row>
    <row r="2" ht="32" customHeight="1">
      <c r="A2" s="4" t="inlineStr">
        <is>
          <t>Kitchen counters</t>
        </is>
      </c>
      <c r="B2" s="4" t="inlineStr">
        <is>
          <t>Quartz, large island</t>
        </is>
      </c>
      <c r="C2" s="4" t="inlineStr">
        <is>
          <t>Granite island</t>
        </is>
      </c>
      <c r="D2" s="4" t="inlineStr">
        <is>
          <t>Likely replaced since 2019. Real, limited dollars.</t>
        </is>
      </c>
    </row>
    <row r="3" ht="32" customHeight="1">
      <c r="A3" s="4" t="inlineStr">
        <is>
          <t>Cabinets</t>
        </is>
      </c>
      <c r="B3" s="4" t="inlineStr">
        <is>
          <t>New cabinetry and pantry</t>
        </is>
      </c>
      <c r="C3" s="4" t="inlineStr">
        <is>
          <t>48-inch cabinets and a walk-in pantry</t>
        </is>
      </c>
      <c r="D3" s="4" t="inlineStr">
        <is>
          <t>Verify they are new. The 2019 copy already sold tall cabinets.</t>
        </is>
      </c>
    </row>
    <row r="4" ht="32" customHeight="1">
      <c r="A4" s="4" t="inlineStr">
        <is>
          <t>Primary bath</t>
        </is>
      </c>
      <c r="B4" s="4" t="inlineStr">
        <is>
          <t>Frameless glass, double vanity, garden tub, private water closet</t>
        </is>
      </c>
      <c r="C4" s="4" t="inlineStr">
        <is>
          <t>Separate vanities, garden tub, spa shower</t>
        </is>
      </c>
      <c r="D4" s="4" t="inlineStr">
        <is>
          <t>Finish upgrade more than a new room.</t>
        </is>
      </c>
    </row>
    <row r="5" ht="32" customHeight="1">
      <c r="A5" s="4" t="inlineStr">
        <is>
          <t>Guest baths</t>
        </is>
      </c>
      <c r="B5" s="4" t="inlineStr">
        <is>
          <t>Both remodeled</t>
        </is>
      </c>
      <c r="C5" s="4" t="inlineStr">
        <is>
          <t>Three baths already, including the office bath</t>
        </is>
      </c>
      <c r="D5" s="4" t="inlineStr">
        <is>
          <t>Cosmetic unless permits show a rebuild.</t>
        </is>
      </c>
    </row>
    <row r="6" ht="32" customHeight="1">
      <c r="A6" s="4" t="inlineStr">
        <is>
          <t>Office bath</t>
        </is>
      </c>
      <c r="B6" s="4" t="inlineStr">
        <is>
          <t>Den bath doubles as the pool bath</t>
        </is>
      </c>
      <c r="C6" s="4" t="inlineStr">
        <is>
          <t>Office with its own private bathroom</t>
        </is>
      </c>
      <c r="D6" s="4" t="inlineStr">
        <is>
          <t>Same room, not an added bath.</t>
        </is>
      </c>
    </row>
    <row r="7" ht="32" customHeight="1">
      <c r="A7" s="4" t="inlineStr">
        <is>
          <t>Floors</t>
        </is>
      </c>
      <c r="B7" s="4" t="inlineStr">
        <is>
          <t>Tile</t>
        </is>
      </c>
      <c r="C7" s="4" t="inlineStr">
        <is>
          <t>18-inch tile in the main living area</t>
        </is>
      </c>
      <c r="D7" s="4" t="inlineStr">
        <is>
          <t>Already there in 2019.</t>
        </is>
      </c>
    </row>
    <row r="8" ht="32" customHeight="1">
      <c r="A8" s="4" t="inlineStr">
        <is>
          <t>Pool, spa, cage</t>
        </is>
      </c>
      <c r="B8" s="4" t="inlineStr">
        <is>
          <t>Heated pool and spa, screen enclosure</t>
        </is>
      </c>
      <c r="C8" s="4" t="inlineStr">
        <is>
          <t>Private pool, spa, and enclosed lanai</t>
        </is>
      </c>
      <c r="D8" s="4" t="inlineStr">
        <is>
          <t>Original. Pool completed 25 May 2006. Cage completed 7 Mar 2006. No later permit.</t>
        </is>
      </c>
    </row>
    <row r="9" ht="32" customHeight="1">
      <c r="A9" s="4" t="inlineStr">
        <is>
          <t>Outdoor kitchen</t>
        </is>
      </c>
      <c r="B9" s="4" t="inlineStr">
        <is>
          <t>Grill and outdoor kitchen</t>
        </is>
      </c>
      <c r="C9" s="4" t="inlineStr">
        <is>
          <t>Outdoor kitchen</t>
        </is>
      </c>
      <c r="D9" s="4" t="inlineStr">
        <is>
          <t>Already there in 2019.</t>
        </is>
      </c>
    </row>
    <row r="10" ht="32" customHeight="1">
      <c r="A10" s="4" t="inlineStr">
        <is>
          <t>Wine bar and fireplace</t>
        </is>
      </c>
      <c r="B10" s="4" t="inlineStr">
        <is>
          <t>Wine bar, electric fireplace</t>
        </is>
      </c>
      <c r="C10" s="4" t="inlineStr">
        <is>
          <t>Not in the 2019 remarks</t>
        </is>
      </c>
      <c r="D10" s="4" t="inlineStr">
        <is>
          <t>Cosmetic. An electric fireplace is not a gas fireplace.</t>
        </is>
      </c>
    </row>
    <row r="11" ht="32" customHeight="1">
      <c r="A11" s="4" t="inlineStr">
        <is>
          <t>Lighting and windows treatments</t>
        </is>
      </c>
      <c r="B11" s="4" t="inlineStr">
        <is>
          <t>Designer lighting and window treatments</t>
        </is>
      </c>
      <c r="C11" s="4" t="inlineStr">
        <is>
          <t>Not singled out in 2019</t>
        </is>
      </c>
      <c r="D11" s="4" t="inlineStr">
        <is>
          <t>Cosmetic. Not impact glass.</t>
        </is>
      </c>
    </row>
    <row r="12" ht="32" customHeight="1">
      <c r="A12" s="4" t="inlineStr">
        <is>
          <t>Water softener</t>
        </is>
      </c>
      <c r="B12" s="4" t="inlineStr">
        <is>
          <t>Whole-house softener listed as an appliance</t>
        </is>
      </c>
      <c r="C12" s="4" t="inlineStr">
        <is>
          <t>Not in the 2019 remarks</t>
        </is>
      </c>
      <c r="D12" s="4" t="inlineStr">
        <is>
          <t>Useful. Small dollars.</t>
        </is>
      </c>
    </row>
    <row r="13" ht="32" customHeight="1">
      <c r="A13" s="4" t="inlineStr">
        <is>
          <t>Closet</t>
        </is>
      </c>
      <c r="B13" s="4" t="inlineStr">
        <is>
          <t>Oversized custom organized closet</t>
        </is>
      </c>
      <c r="C13" s="4" t="inlineStr">
        <is>
          <t>Two walk-in closets</t>
        </is>
      </c>
      <c r="D13" s="4" t="inlineStr">
        <is>
          <t>Organization system, not added area.</t>
        </is>
      </c>
    </row>
    <row r="14" ht="32" customHeight="1">
      <c r="A14" s="4" t="inlineStr">
        <is>
          <t>Accent walls</t>
        </is>
      </c>
      <c r="B14" s="4" t="inlineStr">
        <is>
          <t>Distinctive accent walls</t>
        </is>
      </c>
      <c r="C14" s="4" t="inlineStr">
        <is>
          <t>Not in the 2019 remarks</t>
        </is>
      </c>
      <c r="D14" s="4" t="inlineStr">
        <is>
          <t>Paint and millwork.</t>
        </is>
      </c>
    </row>
    <row r="15" ht="32" customHeight="1">
      <c r="A15" s="4" t="inlineStr">
        <is>
          <t>Roof</t>
        </is>
      </c>
      <c r="B15" s="4" t="inlineStr">
        <is>
          <t>Agent: 20 years old</t>
        </is>
      </c>
      <c r="C15" s="4" t="inlineStr">
        <is>
          <t>Not described as new in 2019</t>
        </is>
      </c>
      <c r="D15" s="4" t="inlineStr">
        <is>
          <t>Confirmed original. CMP-05031188 completed 28 Feb 2006. No reroof permit. Still get the certification.</t>
        </is>
      </c>
    </row>
    <row r="16" ht="32" customHeight="1">
      <c r="A16" s="4" t="inlineStr">
        <is>
          <t>Air conditioners</t>
        </is>
      </c>
      <c r="B16" s="4" t="inlineStr">
        <is>
          <t>Agent: one system 2024, second system 2017</t>
        </is>
      </c>
      <c r="C16" s="4" t="inlineStr">
        <is>
          <t>Not dated in 2019</t>
        </is>
      </c>
      <c r="D16" s="4" t="inlineStr">
        <is>
          <t>One permit only: BLD2405-3790, issued 30 May 2024, like for like, $9,524. No 2017 permit. Require the second data plate.</t>
        </is>
      </c>
    </row>
    <row r="17" ht="32" customHeight="1">
      <c r="A17" s="4" t="inlineStr">
        <is>
          <t>Pool heater</t>
        </is>
      </c>
      <c r="B17" s="4" t="inlineStr">
        <is>
          <t>Agent: 2020</t>
        </is>
      </c>
      <c r="C17" s="4" t="inlineStr">
        <is>
          <t>Pool and spa already existed</t>
        </is>
      </c>
      <c r="D17" s="4" t="inlineStr">
        <is>
          <t>No heater permit in the live county layer. Do not pay for a 2020 heater without the invoice or data plate.</t>
        </is>
      </c>
    </row>
    <row r="18" ht="32" customHeight="1">
      <c r="A18" s="4" t="inlineStr">
        <is>
          <t>Water heater</t>
        </is>
      </c>
      <c r="B18" s="4" t="inlineStr">
        <is>
          <t>Still not dated</t>
        </is>
      </c>
      <c r="C18" s="4" t="inlineStr">
        <is>
          <t>Not mentioned</t>
        </is>
      </c>
      <c r="D18" s="4" t="inlineStr">
        <is>
          <t>No water-heater permit in the files searched. Planning range is $1,500–$3,000 if it is original.</t>
        </is>
      </c>
    </row>
    <row r="19" ht="32" customHeight="1">
      <c r="A19" s="4" t="inlineStr">
        <is>
          <t>Windows</t>
        </is>
      </c>
      <c r="B19" s="4" t="inlineStr">
        <is>
          <t>Blinds and treatments only</t>
        </is>
      </c>
      <c r="C19" s="4" t="inlineStr">
        <is>
          <t>Not described as impact</t>
        </is>
      </c>
      <c r="D19" s="4" t="inlineStr">
        <is>
          <t>No wind-mitigation credit is being claimed. Verify.</t>
        </is>
      </c>
    </row>
    <row r="20" ht="32" customHeight="1">
      <c r="A20" s="4" t="inlineStr">
        <is>
          <t>Public record renovation year</t>
        </is>
      </c>
      <c r="B20" s="4" t="inlineStr">
        <is>
          <t>Remarks say fully remodeled, no date</t>
        </is>
      </c>
      <c r="C20" s="4" t="inlineStr">
        <is>
          <t>Redfin shows a 2012 renovation year</t>
        </is>
      </c>
      <c r="D20" s="4" t="inlineStr">
        <is>
          <t>No kitchen, bath, or alteration permit was found for this parcel. Do not treat 2012 as proven.</t>
        </is>
      </c>
    </row>
  </sheetData>
  <autoFilter ref="A1:D20"/>
  <pageMargins left="0.75" right="0.75" top="1" bottom="1" header="0.5" footer="0.5"/>
  <pageSetup orientation="landscape" paperSize="3" fitToHeight="1" fitToWidth="1"/>
  <headerFooter>
    <oddHeader>&amp;LUpgrades versus the 2019 listing</oddHeader>
    <oddFooter>&amp;RPage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15"/>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70" customWidth="1" min="3" max="3"/>
    <col width="70" customWidth="1" min="4" max="4"/>
  </cols>
  <sheetData>
    <row r="1">
      <c r="A1" s="35" t="inlineStr">
        <is>
          <t>Risk</t>
        </is>
      </c>
      <c r="B1" s="35" t="inlineStr">
        <is>
          <t>Severity</t>
        </is>
      </c>
      <c r="C1" s="35" t="inlineStr">
        <is>
          <t>What is known</t>
        </is>
      </c>
      <c r="D1" s="35" t="inlineStr">
        <is>
          <t>What to require</t>
        </is>
      </c>
    </row>
    <row r="2" ht="48" customHeight="1">
      <c r="A2" s="4" t="inlineStr">
        <is>
          <t>Price</t>
        </is>
      </c>
      <c r="B2" s="37" t="inlineStr">
        <is>
          <t>High</t>
        </is>
      </c>
      <c r="C2" s="4" t="inlineStr">
        <is>
          <t>Ask is $456/sf against a 2026 sold median near $314/sf and a same-view neighbor under contract at $336/sf. The owners rejected two offers under $1,000,000. Amounts were not disclosed.</t>
        </is>
      </c>
      <c r="D2" s="4" t="inlineStr">
        <is>
          <t>No offer has been sent. Wait until the list price is under $1,000,000, then write $850,000 to $910,000. Supported value is $880,000.</t>
        </is>
      </c>
    </row>
    <row r="3" ht="48" customHeight="1">
      <c r="A3" s="4" t="inlineStr">
        <is>
          <t>Resale</t>
        </is>
      </c>
      <c r="B3" s="37" t="inlineStr">
        <is>
          <t>High</t>
        </is>
      </c>
      <c r="C3" s="4" t="inlineStr">
        <is>
          <t>13911 has been cut 23% from $1,295,000 and was still for sale at $995,000 with more house. 13987 sold in 2026 for less than its 2023 price.</t>
        </is>
      </c>
      <c r="D3" s="4" t="inlineStr">
        <is>
          <t>Underwrite an exit near the 2026 sold band, not near this ask.</t>
        </is>
      </c>
    </row>
    <row r="4" ht="48" customHeight="1">
      <c r="A4" s="4" t="inlineStr">
        <is>
          <t>Roof and insurance</t>
        </is>
      </c>
      <c r="B4" s="37" t="inlineStr">
        <is>
          <t>High</t>
        </is>
      </c>
      <c r="C4" s="4" t="inlineStr">
        <is>
          <t>Permit CMP-05031188 completed 28 Feb 2006 with a tile roof. No reroof permit follows it. 13828, which sold at $346/sf, led with a brand-new roof.</t>
        </is>
      </c>
      <c r="D4" s="4" t="inlineStr">
        <is>
          <t>Roof certification, 4-point, wind mitigation, and an insurance binder before the inspection period ends. Planning range to replace a tile roof of this size is $40,000–$80,000. That is not a bid.</t>
        </is>
      </c>
    </row>
    <row r="5" ht="48" customHeight="1">
      <c r="A5" s="4" t="inlineStr">
        <is>
          <t>Second HVAC and water heater</t>
        </is>
      </c>
      <c r="B5" s="37" t="inlineStr">
        <is>
          <t>High</t>
        </is>
      </c>
      <c r="C5" s="4" t="inlineStr">
        <is>
          <t>The only HVAC permit is BLD2405-3790, one like-for-like changeout issued 30 May 2024 for $9,524. No 2017 permit was found. No water-heater permit was found.</t>
        </is>
      </c>
      <c r="D5" s="4" t="inlineStr">
        <is>
          <t>Read both data plates. If the second system is original, budget a replacement. Water heater planning range is $1,500–$3,000 if it is original. Accela lists no completed inspections on the 2024 permit; GIS shows a certificate date of 22 May 2026.</t>
        </is>
      </c>
    </row>
    <row r="6" ht="48" customHeight="1">
      <c r="A6" s="4" t="inlineStr">
        <is>
          <t>Tax reset</t>
        </is>
      </c>
      <c r="B6" s="37" t="inlineStr">
        <is>
          <t>High</t>
        </is>
      </c>
      <c r="C6" s="4" t="inlineStr">
        <is>
          <t>Sellers have homestead. Assessed value is $692,095 and the bill is $13,013. A buyer does not inherit Save Our Homes.</t>
        </is>
      </c>
      <c r="D6" s="4" t="inlineStr">
        <is>
          <t>Use the Carrying costs sheet. At the ask, year-1 taxes are about $20,700 before any homestead.</t>
        </is>
      </c>
    </row>
    <row r="7" ht="48" customHeight="1">
      <c r="A7" s="4" t="inlineStr">
        <is>
          <t>Remodel story</t>
        </is>
      </c>
      <c r="B7" s="38" t="inlineStr">
        <is>
          <t>Medium</t>
        </is>
      </c>
      <c r="C7" s="4" t="inlineStr">
        <is>
          <t>2019 remarks already included the pool, spa, outdoor kitchen, tile, tall cabinets, granite, and office bath. The county files checked have no kitchen, bath, or alteration permit. Redfin's 2012 field is not a permit.</t>
        </is>
      </c>
      <c r="D7" s="4" t="inlineStr">
        <is>
          <t>Do not pay a remodel premium the permit file does not support. Ask the seller for invoices. Unpermitted work is a loan and insurance problem.</t>
        </is>
      </c>
    </row>
    <row r="8" ht="48" customHeight="1">
      <c r="A8" s="4" t="inlineStr">
        <is>
          <t>HOA disclosure</t>
        </is>
      </c>
      <c r="B8" s="38" t="inlineStr">
        <is>
          <t>Medium</t>
        </is>
      </c>
      <c r="C8" s="4" t="inlineStr">
        <is>
          <t>MLS fee is $135 per year to Lakewood Ranch Town Hall. Siena is a 68-home maintenance-free village. Neighbors show about $175–$188 per month.</t>
        </is>
      </c>
      <c r="D8" s="4" t="inlineStr">
        <is>
          <t>Estoppel for both associations, what maintenance includes, and any special assessment.</t>
        </is>
      </c>
    </row>
    <row r="9" ht="48" customHeight="1">
      <c r="A9" s="4" t="inlineStr">
        <is>
          <t>Pool and cage</t>
        </is>
      </c>
      <c r="B9" s="38" t="inlineStr">
        <is>
          <t>Medium</t>
        </is>
      </c>
      <c r="C9" s="4" t="inlineStr">
        <is>
          <t>Pool completed 25 May 2006. Mansard cage completed 7 Mar 2006. No later pool, heater, or cage permit. The agent's 2020 heater date is not in the county file.</t>
        </is>
      </c>
      <c r="D9" s="4" t="inlineStr">
        <is>
          <t>Pool inspection. Do not credit a 2020 heater without the data plate or invoice. Resurface and rescreen are separate jobs when they are due.</t>
        </is>
      </c>
    </row>
    <row r="10" ht="48" customHeight="1">
      <c r="A10" s="4" t="inlineStr">
        <is>
          <t>Three bedrooms</t>
        </is>
      </c>
      <c r="B10" s="38" t="inlineStr">
        <is>
          <t>Medium</t>
        </is>
      </c>
      <c r="C10" s="4" t="inlineStr">
        <is>
          <t>Office is a den with a pool bath, not a fourth bedroom. 13911 offers four bedrooms and 3.5 baths for $200,000 less ask.</t>
        </is>
      </c>
      <c r="D10" s="4" t="inlineStr">
        <is>
          <t>Price the bedroom count. The buyer pool at $1.2 million usually wants four bedrooms.</t>
        </is>
      </c>
    </row>
    <row r="11" ht="48" customHeight="1">
      <c r="A11" s="4" t="inlineStr">
        <is>
          <t>Golf lot</t>
        </is>
      </c>
      <c r="B11" s="38" t="inlineStr">
        <is>
          <t>Medium</t>
        </is>
      </c>
      <c r="C11" s="4" t="inlineStr">
        <is>
          <t>View is real and 13978 shows what buyers will pay for the same view. MLS waterfront flag is No. Balls, mowers, and chemicals come with the lot.</t>
        </is>
      </c>
      <c r="D11" s="4" t="inlineStr">
        <is>
          <t>Walk the lot on a play day. Do not pay a view premium 13978 did not get.</t>
        </is>
      </c>
    </row>
    <row r="12" ht="48" customHeight="1">
      <c r="A12" s="4" t="inlineStr">
        <is>
          <t>CDD</t>
        </is>
      </c>
      <c r="B12" s="39" t="inlineStr">
        <is>
          <t>Low</t>
        </is>
      </c>
      <c r="C12" s="4" t="inlineStr">
        <is>
          <t>Debt service is only $331 per year, so the bond is small. Operations are about $3,166 and the proposed FY2027 Siena total is $3,782.</t>
        </is>
      </c>
      <c r="D12" s="4" t="inlineStr">
        <is>
          <t>Read the CDD budget. The fee does not end when the small debt is gone.</t>
        </is>
      </c>
    </row>
    <row r="13" ht="48" customHeight="1">
      <c r="A13" s="4" t="inlineStr">
        <is>
          <t>Flood</t>
        </is>
      </c>
      <c r="B13" s="39" t="inlineStr">
        <is>
          <t>Low</t>
        </is>
      </c>
      <c r="C13" s="4" t="inlineStr">
        <is>
          <t>Listing detail says flood zone X. Lake is a view, not owned frontage. Reclaimed water irrigates the community.</t>
        </is>
      </c>
      <c r="D13" s="4" t="inlineStr">
        <is>
          <t>Still pull the FEMA map and ask about yard drainage after summer rain.</t>
        </is>
      </c>
    </row>
    <row r="14" ht="48" customHeight="1">
      <c r="A14" s="4" t="inlineStr">
        <is>
          <t>2006 construction screen</t>
        </is>
      </c>
      <c r="B14" s="39" t="inlineStr">
        <is>
          <t>Low</t>
        </is>
      </c>
      <c r="C14" s="4" t="inlineStr">
        <is>
          <t>No public record reviewed here ties this address to Chinese drywall. The build year sits in the 2001–2009 problem window.</t>
        </is>
      </c>
      <c r="D14" s="4" t="inlineStr">
        <is>
          <t>Look for blackened copper, a sulfur smell, and failed AC coils. Ordinary stucco and window-flashing leaks belong on the same inspection.</t>
        </is>
      </c>
    </row>
    <row r="15" ht="48" customHeight="1">
      <c r="A15" s="4" t="inlineStr">
        <is>
          <t>Club dues</t>
        </is>
      </c>
      <c r="B15" s="39" t="inlineStr">
        <is>
          <t>Low</t>
        </is>
      </c>
      <c r="C15" s="4" t="inlineStr">
        <is>
          <t>Membership is optional and Heritage Golf Group has owned the club since early 2024.</t>
        </is>
      </c>
      <c r="D15" s="4" t="inlineStr">
        <is>
          <t>If a membership matters, price it separately. Premier initiation in the 2026 packet is $110,000 plus $1,360 a month.</t>
        </is>
      </c>
    </row>
  </sheetData>
  <autoFilter ref="A1:D15"/>
  <dataValidations count="1">
    <dataValidation sqref="B2:B25" showDropDown="0" showInputMessage="0" showErrorMessage="0" allowBlank="0" type="list">
      <formula1>"High,Medium,Low"</formula1>
    </dataValidation>
  </dataValidations>
  <pageMargins left="0.75" right="0.75" top="1" bottom="1" header="0.5" footer="0.5"/>
  <pageSetup orientation="landscape" paperSize="3" fitToHeight="1" fitToWidth="1"/>
  <headerFooter>
    <oddHeader>&amp;LRisks and hidden issues</oddHeader>
    <oddFooter>&amp;RPage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11"/>
  <sheetViews>
    <sheetView workbookViewId="0">
      <pane ySplit="4" topLeftCell="A5" activePane="bottomLeft" state="frozen"/>
      <selection pane="bottomLeft" activeCell="A1" sqref="A1"/>
    </sheetView>
  </sheetViews>
  <sheetFormatPr baseColWidth="8" defaultRowHeight="15"/>
  <cols>
    <col width="28" customWidth="1" min="1" max="1"/>
    <col width="18" customWidth="1" min="2" max="2"/>
    <col width="22" customWidth="1" min="3" max="3"/>
    <col width="28" customWidth="1" min="4" max="4"/>
    <col width="14" customWidth="1" min="5" max="5"/>
    <col width="72" customWidth="1" min="6" max="6"/>
    <col width="62" customWidth="1" min="7" max="7"/>
  </cols>
  <sheetData>
    <row r="1" ht="22" customHeight="1">
      <c r="A1" s="28" t="inlineStr">
        <is>
          <t>Manatee County public permits for 13994 Siena Loop</t>
        </is>
      </c>
    </row>
    <row r="2" ht="36" customHeight="1">
      <c r="A2" s="2" t="inlineStr">
        <is>
          <t>Checked 23 Oct 2026. Archive CSVs published by Manatee Development Services cover 2004 through 21 Feb 2018. The live GIS PermitData layer, queried by parcel 588502359 and by house 13994 SIENA, returned one building permit, BLD2405-3790, plus a pointer to the historical archive. A missing permit means it was not in those public files. It does not prove the equipment was never replaced.</t>
        </is>
      </c>
    </row>
    <row r="4">
      <c r="A4" s="35" t="inlineStr">
        <is>
          <t>Work</t>
        </is>
      </c>
      <c r="B4" s="35" t="inlineStr">
        <is>
          <t>Permit</t>
        </is>
      </c>
      <c r="C4" s="35" t="inlineStr">
        <is>
          <t>Issued</t>
        </is>
      </c>
      <c r="D4" s="35" t="inlineStr">
        <is>
          <t>Completed</t>
        </is>
      </c>
      <c r="E4" s="35" t="inlineStr">
        <is>
          <t>Status</t>
        </is>
      </c>
      <c r="F4" s="35" t="inlineStr">
        <is>
          <t>What the county file shows</t>
        </is>
      </c>
      <c r="G4" s="35" t="inlineStr">
        <is>
          <t>Against the agent's date</t>
        </is>
      </c>
    </row>
    <row r="5" ht="48" customHeight="1">
      <c r="A5" s="4" t="inlineStr">
        <is>
          <t>New house and tile roof</t>
        </is>
      </c>
      <c r="B5" s="4" t="inlineStr">
        <is>
          <t>CMP-05031188</t>
        </is>
      </c>
      <c r="C5" s="4" t="inlineStr">
        <is>
          <t>28 Mar 2005</t>
        </is>
      </c>
      <c r="D5" s="4" t="inlineStr">
        <is>
          <t>28 Feb 2006</t>
        </is>
      </c>
      <c r="E5" s="39" t="inlineStr">
        <is>
          <t>Closed</t>
        </is>
      </c>
      <c r="F5" s="4" t="inlineStr">
        <is>
          <t>Original 3-bed, 3-bath, one-story concrete-block house with a tile roof and gas. Neal Communities of Southwest Florida. Declared cost $130,000. Lot 47.</t>
        </is>
      </c>
      <c r="G5" s="4" t="inlineStr">
        <is>
          <t>Matches the agent's 20-year roof. No reroof permit appears after this one.</t>
        </is>
      </c>
    </row>
    <row r="6" ht="48" customHeight="1">
      <c r="A6" s="4" t="inlineStr">
        <is>
          <t>Pool and spa</t>
        </is>
      </c>
      <c r="B6" s="4" t="inlineStr">
        <is>
          <t>CMP-05070213</t>
        </is>
      </c>
      <c r="C6" s="4" t="inlineStr">
        <is>
          <t>4 Aug 2005</t>
        </is>
      </c>
      <c r="D6" s="4" t="inlineStr">
        <is>
          <t>25 May 2006</t>
        </is>
      </c>
      <c r="E6" s="39" t="inlineStr">
        <is>
          <t>Closed</t>
        </is>
      </c>
      <c r="F6" s="4" t="inlineStr">
        <is>
          <t>In-ground pool, spa, and deck. Splash Pools. Declared cost $28,100. Built with the house.</t>
        </is>
      </c>
      <c r="G6" s="4" t="inlineStr">
        <is>
          <t>The pool is original. This permit does not date a heater.</t>
        </is>
      </c>
    </row>
    <row r="7" ht="48" customHeight="1">
      <c r="A7" s="4" t="inlineStr">
        <is>
          <t>Screen cage</t>
        </is>
      </c>
      <c r="B7" s="4" t="inlineStr">
        <is>
          <t>CMP-06011072</t>
        </is>
      </c>
      <c r="C7" s="4" t="inlineStr">
        <is>
          <t>23 Feb 2006</t>
        </is>
      </c>
      <c r="D7" s="4" t="inlineStr">
        <is>
          <t>7 Mar 2006</t>
        </is>
      </c>
      <c r="E7" s="39" t="inlineStr">
        <is>
          <t>Closed</t>
        </is>
      </c>
      <c r="F7" s="4" t="inlineStr">
        <is>
          <t>Mansard pool cage on the existing deck. Absolute Aluminum. Declared cost $6,667.</t>
        </is>
      </c>
      <c r="G7" s="4" t="inlineStr">
        <is>
          <t>The cage is original. No later cage or rescreen permit was found.</t>
        </is>
      </c>
    </row>
    <row r="8" ht="48" customHeight="1">
      <c r="A8" s="4" t="inlineStr">
        <is>
          <t>Air conditioner</t>
        </is>
      </c>
      <c r="B8" s="4" t="inlineStr">
        <is>
          <t>BLD2405-3790</t>
        </is>
      </c>
      <c r="C8" s="4" t="inlineStr">
        <is>
          <t>30 May 2024</t>
        </is>
      </c>
      <c r="D8" s="4" t="inlineStr">
        <is>
          <t>GIS certificate 22 May 2026</t>
        </is>
      </c>
      <c r="E8" s="39" t="inlineStr">
        <is>
          <t>Closed</t>
        </is>
      </c>
      <c r="F8" s="4" t="inlineStr">
        <is>
          <t>One like-for-like HVAC changeout. Arctic Air Services, Scott Whitaker. Job value $9,524. No duct replacement. Mechanical only. Accela lists no completed inspections.</t>
        </is>
      </c>
      <c r="G8" s="4" t="inlineStr">
        <is>
          <t>Confirms one 2024 system, not two. The agent's 2017 system has no permit in the files searched.</t>
        </is>
      </c>
    </row>
    <row r="9" ht="48" customHeight="1">
      <c r="A9" s="4" t="inlineStr">
        <is>
          <t>Second air conditioner, 2017</t>
        </is>
      </c>
      <c r="B9" s="4" t="inlineStr">
        <is>
          <t>None found</t>
        </is>
      </c>
      <c r="C9" s="4" t="inlineStr"/>
      <c r="D9" s="4" t="inlineStr"/>
      <c r="E9" s="38" t="inlineStr">
        <is>
          <t>Not in file</t>
        </is>
      </c>
      <c r="F9" s="4" t="inlineStr">
        <is>
          <t>No 2017 mechanical permit for this parcel in the 2013–2018 archive or in the live GIS layer.</t>
        </is>
      </c>
      <c r="G9" s="4" t="inlineStr">
        <is>
          <t>The 2017 date is the agent's statement only. The second system may still be the 2006 equipment.</t>
        </is>
      </c>
    </row>
    <row r="10" ht="48" customHeight="1">
      <c r="A10" s="4" t="inlineStr">
        <is>
          <t>Pool heater, 2020</t>
        </is>
      </c>
      <c r="B10" s="4" t="inlineStr">
        <is>
          <t>None found</t>
        </is>
      </c>
      <c r="C10" s="4" t="inlineStr"/>
      <c r="D10" s="4" t="inlineStr"/>
      <c r="E10" s="38" t="inlineStr">
        <is>
          <t>Not in file</t>
        </is>
      </c>
      <c r="F10" s="4" t="inlineStr">
        <is>
          <t>A 2020 heater permit would be in the live Accela-era layer. That layer has no heater permit for this house.</t>
        </is>
      </c>
      <c r="G10" s="4" t="inlineStr">
        <is>
          <t>The 2020 heater date is the agent's statement only.</t>
        </is>
      </c>
    </row>
    <row r="11" ht="48" customHeight="1">
      <c r="A11" s="4" t="inlineStr">
        <is>
          <t>Kitchen, baths, water heater</t>
        </is>
      </c>
      <c r="B11" s="4" t="inlineStr">
        <is>
          <t>None found</t>
        </is>
      </c>
      <c r="C11" s="4" t="inlineStr"/>
      <c r="D11" s="4" t="inlineStr"/>
      <c r="E11" s="38" t="inlineStr">
        <is>
          <t>Not in file</t>
        </is>
      </c>
      <c r="F11" s="4" t="inlineStr">
        <is>
          <t>No alteration, plumbing, or water-heater permit for this parcel in the files searched. Redfin's 2012 renovation year is not a permit.</t>
        </is>
      </c>
      <c r="G11" s="4" t="inlineStr">
        <is>
          <t>Finish claims are not backed by a county building permit.</t>
        </is>
      </c>
    </row>
  </sheetData>
  <autoFilter ref="A4:G11"/>
  <mergeCells count="1">
    <mergeCell ref="A2:G2"/>
  </mergeCells>
  <pageMargins left="0.75" right="0.75" top="1" bottom="1" header="0.5" footer="0.5"/>
  <pageSetup orientation="landscape" paperSize="3" fitToHeight="1" fitToWidth="1"/>
  <headerFooter>
    <oddHeader>&amp;LCounty permits, parcel 588502359</oddHeader>
    <oddFooter>&amp;RPage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70" customWidth="1" min="1" max="1"/>
    <col width="78" customWidth="1" min="2" max="2"/>
    <col width="36" customWidth="1" min="3" max="3"/>
  </cols>
  <sheetData>
    <row r="1">
      <c r="A1" s="9" t="inlineStr">
        <is>
          <t>Fact</t>
        </is>
      </c>
      <c r="B1" s="9" t="inlineStr">
        <is>
          <t>Source</t>
        </is>
      </c>
      <c r="C1" s="9" t="inlineStr">
        <is>
          <t>Date used</t>
        </is>
      </c>
    </row>
    <row r="2" ht="32" customHeight="1">
      <c r="A2" s="4" t="inlineStr">
        <is>
          <t>Ask, living area, tile roof, parcel, $135 Town Hall fee, $3,497 other assessment, flood zone X</t>
        </is>
      </c>
      <c r="B2" s="4" t="inlineStr">
        <is>
          <t>MLS A4704244 via Coldwell Banker, Berkshire Hathaway, and Zachos</t>
        </is>
      </c>
      <c r="C2" s="4" t="inlineStr">
        <is>
          <t>23 Oct 2026</t>
        </is>
      </c>
    </row>
    <row r="3" ht="32" customHeight="1">
      <c r="A3" s="4" t="inlineStr">
        <is>
          <t>49 days online and listing text</t>
        </is>
      </c>
      <c r="B3" s="4" t="inlineStr">
        <is>
          <t>Zachos Realty listing snapshot</t>
        </is>
      </c>
      <c r="C3" s="4" t="inlineStr">
        <is>
          <t>Updated 23 Oct 2026</t>
        </is>
      </c>
    </row>
    <row r="4" ht="32" customHeight="1">
      <c r="A4" s="4" t="inlineStr">
        <is>
          <t>2020 sale $445,000 and 2019 price cuts and remarks</t>
        </is>
      </c>
      <c r="B4" s="4" t="inlineStr">
        <is>
          <t>Redfin sale history, prior MLS A4436936; Coldwell Banker price history</t>
        </is>
      </c>
      <c r="C4" s="4" t="inlineStr">
        <is>
          <t>Pages read 23 Oct 2026</t>
        </is>
      </c>
    </row>
    <row r="5" ht="32" customHeight="1">
      <c r="A5" s="4" t="inlineStr">
        <is>
          <t>2025 tax bill, homestead, CDD split, owners, market and assessed value</t>
        </is>
      </c>
      <c r="B5" s="4" t="inlineStr">
        <is>
          <t>Manatee County tax bill, parcel 588502359</t>
        </is>
      </c>
      <c r="C5" s="4" t="inlineStr">
        <is>
          <t>2025 bill, payment posted 1 Dec 2025</t>
        </is>
      </c>
    </row>
    <row r="6" ht="32" customHeight="1">
      <c r="A6" s="4" t="inlineStr">
        <is>
          <t>13978 under contract at $899,000, AC dated April 2026</t>
        </is>
      </c>
      <c r="B6" s="4" t="inlineStr">
        <is>
          <t>SeaGlass and realestate.com.au reprint of MLS A4705315</t>
        </is>
      </c>
      <c r="C6" s="4" t="inlineStr">
        <is>
          <t>Updated 23 Oct 2026</t>
        </is>
      </c>
    </row>
    <row r="7" ht="32" customHeight="1">
      <c r="A7" s="4" t="inlineStr">
        <is>
          <t>13853, 13860, 13911 asks and reductions</t>
        </is>
      </c>
      <c r="B7" s="4" t="inlineStr">
        <is>
          <t>William Raveis and Berkshire Hathaway listing pages</t>
        </is>
      </c>
      <c r="C7" s="4" t="inlineStr">
        <is>
          <t>23 Oct 2026</t>
        </is>
      </c>
    </row>
    <row r="8" ht="32" customHeight="1">
      <c r="A8" s="4" t="inlineStr">
        <is>
          <t>13828 sold $799,000 on 2,311 sf with a new roof</t>
        </is>
      </c>
      <c r="B8" s="4" t="inlineStr">
        <is>
          <t>Coldwell Banker and Florida Real Estate Central, MLS A4687316</t>
        </is>
      </c>
      <c r="C8" s="4" t="inlineStr">
        <is>
          <t>Sold 1 Jun 2026</t>
        </is>
      </c>
    </row>
    <row r="9" ht="32" customHeight="1">
      <c r="A9" s="4" t="inlineStr">
        <is>
          <t>13804 sold $790,000 on 2,319 sf</t>
        </is>
      </c>
      <c r="B9" s="4" t="inlineStr">
        <is>
          <t>Palm Paradise Realty, MLS A4691647</t>
        </is>
      </c>
      <c r="C9" s="4" t="inlineStr">
        <is>
          <t>Sold 12 Jun 2026</t>
        </is>
      </c>
    </row>
    <row r="10" ht="32" customHeight="1">
      <c r="A10" s="4" t="inlineStr">
        <is>
          <t>13876 sold $775,000 on 2,610 sf</t>
        </is>
      </c>
      <c r="B10" s="4" t="inlineStr">
        <is>
          <t>Homefinder / Stellar MLS</t>
        </is>
      </c>
      <c r="C10" s="4" t="inlineStr">
        <is>
          <t>Sold 30 Apr 2026</t>
        </is>
      </c>
    </row>
    <row r="11" ht="32" customHeight="1">
      <c r="A11" s="4" t="inlineStr">
        <is>
          <t>13861 sold $610,000 and 13844 sold $619,425</t>
        </is>
      </c>
      <c r="B11" s="4" t="inlineStr">
        <is>
          <t>BEX Realty MLS reprints</t>
        </is>
      </c>
      <c r="C11" s="4" t="inlineStr">
        <is>
          <t>19 Mar 2026 and 29 Jan 2026</t>
        </is>
      </c>
    </row>
    <row r="12" ht="32" customHeight="1">
      <c r="A12" s="4" t="inlineStr">
        <is>
          <t>13987 sold $760,000, prior sale $810,000 in 2023</t>
        </is>
      </c>
      <c r="B12" s="4" t="inlineStr">
        <is>
          <t>Your Observer, Lakewood Ranch sales for 3–7 Aug 2026</t>
        </is>
      </c>
      <c r="C12" s="4" t="inlineStr">
        <is>
          <t>Published 18 Aug 2026</t>
        </is>
      </c>
    </row>
    <row r="13" ht="32" customHeight="1">
      <c r="A13" s="4" t="inlineStr">
        <is>
          <t>Proposed FY2026/27 Siena CDD $3,781.92</t>
        </is>
      </c>
      <c r="B13" s="4" t="inlineStr">
        <is>
          <t>Lakewood Ranch CDD 5 budget-hearing notice, transcribed by Move With Momentum</t>
        </is>
      </c>
      <c r="C13" s="4" t="inlineStr">
        <is>
          <t>Hearing 17 Aug 2026, proposed</t>
        </is>
      </c>
    </row>
    <row r="14" ht="32" customHeight="1">
      <c r="A14" s="4" t="inlineStr">
        <is>
          <t>Club initiation and dues</t>
        </is>
      </c>
      <c r="B14" s="4" t="inlineStr">
        <is>
          <t>Lakewood Ranch Golf &amp; Country Club 2026 membership packet</t>
        </is>
      </c>
      <c r="C14" s="4" t="inlineStr">
        <is>
          <t>2026 packet</t>
        </is>
      </c>
    </row>
    <row r="15" ht="32" customHeight="1">
      <c r="A15" s="4" t="inlineStr">
        <is>
          <t>Renovation year 2012 field</t>
        </is>
      </c>
      <c r="B15" s="4" t="inlineStr">
        <is>
          <t>Redfin public-record pane</t>
        </is>
      </c>
      <c r="C15" s="4" t="inlineStr">
        <is>
          <t>Not matched to a permit</t>
        </is>
      </c>
    </row>
    <row r="16" ht="32" customHeight="1">
      <c r="A16" s="4" t="inlineStr">
        <is>
          <t>New house and tile roof, completed 28 Feb 2006</t>
        </is>
      </c>
      <c r="B16" s="4" t="inlineStr">
        <is>
          <t>Manatee historical permit CMP-05031188, parcel 588502359</t>
        </is>
      </c>
      <c r="C16" s="4" t="inlineStr">
        <is>
          <t>Archive file 2004–2005, checked 23 Oct 2026</t>
        </is>
      </c>
    </row>
    <row r="17" ht="32" customHeight="1">
      <c r="A17" s="4" t="inlineStr">
        <is>
          <t>Pool and spa, completed 25 May 2006</t>
        </is>
      </c>
      <c r="B17" s="4" t="inlineStr">
        <is>
          <t>Manatee historical permit CMP-05070213</t>
        </is>
      </c>
      <c r="C17" s="4" t="inlineStr">
        <is>
          <t>Archive file 2004–2005, checked 23 Oct 2026</t>
        </is>
      </c>
    </row>
    <row r="18" ht="32" customHeight="1">
      <c r="A18" s="4" t="inlineStr">
        <is>
          <t>Mansard screen cage, completed 7 Mar 2006</t>
        </is>
      </c>
      <c r="B18" s="4" t="inlineStr">
        <is>
          <t>Manatee historical permit CMP-06011072</t>
        </is>
      </c>
      <c r="C18" s="4" t="inlineStr">
        <is>
          <t>Archive file 2006, checked 23 Oct 2026</t>
        </is>
      </c>
    </row>
    <row r="19" ht="32" customHeight="1">
      <c r="A19" s="4" t="inlineStr">
        <is>
          <t>One HVAC changeout, issued 30 May 2024, GIS certificate 22 May 2026</t>
        </is>
      </c>
      <c r="B19" s="4" t="inlineStr">
        <is>
          <t>Manatee GIS PermitData and Accela BLD2405-3790</t>
        </is>
      </c>
      <c r="C19" s="4" t="inlineStr">
        <is>
          <t>Live layer and Accela page, 23 Oct 2026</t>
        </is>
      </c>
    </row>
    <row r="20" ht="32" customHeight="1">
      <c r="A20" s="4" t="inlineStr">
        <is>
          <t>No 2017 HVAC permit, no 2020 heater permit, no remodel permit</t>
        </is>
      </c>
      <c r="B20" s="4" t="inlineStr">
        <is>
          <t>Same archive CSVs through 21 Feb 2018, plus the live GIS layer for this parcel and house</t>
        </is>
      </c>
      <c r="C20" s="4" t="inlineStr">
        <is>
          <t>Checked 23 Oct 2026</t>
        </is>
      </c>
    </row>
    <row r="21" ht="32" customHeight="1">
      <c r="A21" s="4" t="inlineStr">
        <is>
          <t>Two offers under $1,000,000, both rejected</t>
        </is>
      </c>
      <c r="B21" s="4" t="inlineStr">
        <is>
          <t>Listing agent, told to our broker. Dollar amounts were not disclosed</t>
        </is>
      </c>
      <c r="C21" s="4" t="inlineStr">
        <is>
          <t>23 Oct 2026</t>
        </is>
      </c>
    </row>
  </sheetData>
  <autoFilter ref="A1:C21"/>
  <pageMargins left="0.75" right="0.75" top="1" bottom="1" header="0.5" footer="0.5"/>
  <pageSetup orientation="landscape" paperSize="3" fitToHeight="1" fitToWidth="1"/>
  <headerFooter>
    <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2026-10-23T21:12:44Z</dcterms:created>
  <dcterms:modified xmlns:dcterms="http://purl.org/dc/terms/" xmlns:xsi="http://www.w3.org/2001/XMLSchema-instance" xsi:type="dcterms:W3CDTF">2026-10-23T21:12:44Z</dcterms:modified>
</cp:coreProperties>
</file>