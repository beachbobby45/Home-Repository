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bject" sheetId="2" state="visible" r:id="rId2"/>
    <sheet xmlns:r="http://schemas.openxmlformats.org/officeDocument/2006/relationships" name="Comps" sheetId="3" state="visible" r:id="rId3"/>
    <sheet xmlns:r="http://schemas.openxmlformats.org/officeDocument/2006/relationships" name="Valuation" sheetId="4" state="visible" r:id="rId4"/>
    <sheet xmlns:r="http://schemas.openxmlformats.org/officeDocument/2006/relationships" name="Carrying costs" sheetId="5" state="visible" r:id="rId5"/>
    <sheet xmlns:r="http://schemas.openxmlformats.org/officeDocument/2006/relationships" name="Upgrades" sheetId="6" state="visible" r:id="rId6"/>
    <sheet xmlns:r="http://schemas.openxmlformats.org/officeDocument/2006/relationships" name="Risks" sheetId="7" state="visible" r:id="rId7"/>
    <sheet xmlns:r="http://schemas.openxmlformats.org/officeDocument/2006/relationships" name="Permits" sheetId="8" state="visible" r:id="rId8"/>
    <sheet xmlns:r="http://schemas.openxmlformats.org/officeDocument/2006/relationships" name="Sources" sheetId="9" state="visible" r:id="rId9"/>
    <sheet xmlns:r="http://schemas.openxmlformats.org/officeDocument/2006/relationships" name="Sale history" sheetId="10" state="visible" r:id="rId10"/>
  </sheets>
  <definedNames>
    <definedName name="_xlnm._FilterDatabase" localSheetId="1" hidden="1">'Subject'!$A$1:$C$23</definedName>
    <definedName name="_xlnm.Print_Titles" localSheetId="1">'Subject'!$1:$1</definedName>
    <definedName name="_xlnm._FilterDatabase" localSheetId="2" hidden="1">'Comps'!$A$1:$R$12</definedName>
    <definedName name="_xlnm.Print_Titles" localSheetId="2">'Comps'!$1:$1</definedName>
    <definedName name="_xlnm.Print_Titles" localSheetId="3">'Valuation'!$1:$1</definedName>
    <definedName name="_xlnm.Print_Titles" localSheetId="4">'Carrying costs'!$3:$3</definedName>
    <definedName name="_xlnm._FilterDatabase" localSheetId="5" hidden="1">'Upgrades'!$A$1:$D$20</definedName>
    <definedName name="_xlnm.Print_Titles" localSheetId="5">'Upgrades'!$1:$1</definedName>
    <definedName name="_xlnm._FilterDatabase" localSheetId="6" hidden="1">'Risks'!$A$1:$D$15</definedName>
    <definedName name="_xlnm.Print_Titles" localSheetId="6">'Risks'!$1:$1</definedName>
    <definedName name="_xlnm._FilterDatabase" localSheetId="7" hidden="1">'Permits'!$A$4:$G$11</definedName>
    <definedName name="_xlnm.Print_Titles" localSheetId="7">'Permits'!$4:$4</definedName>
    <definedName name="_xlnm._FilterDatabase" localSheetId="8" hidden="1">'Sources'!$A$1:$C$22</definedName>
    <definedName name="_xlnm.Print_Titles" localSheetId="8">'Sources'!$1:$1</definedName>
    <definedName name="_xlnm._FilterDatabase" localSheetId="9" hidden="1">'Sale history'!$A$4:$J$176</definedName>
    <definedName name="_xlnm.Print_Titles" localSheetId="9">'Sale history'!$4:$4</definedName>
  </definedNames>
  <calcPr calcId="124519" fullCalcOnLoad="1"/>
</workbook>
</file>

<file path=xl/styles.xml><?xml version="1.0" encoding="utf-8"?>
<styleSheet xmlns="http://schemas.openxmlformats.org/spreadsheetml/2006/main">
  <numFmts count="3">
    <numFmt numFmtId="164" formatCode="&quot;$&quot;#,##0"/>
    <numFmt numFmtId="165" formatCode="&quot;$&quot;#,##0.00"/>
    <numFmt numFmtId="166" formatCode="0.0%"/>
  </numFmts>
  <fonts count="9">
    <font>
      <name val="Calibri"/>
      <family val="2"/>
      <color theme="1"/>
      <sz val="11"/>
      <scheme val="minor"/>
    </font>
    <font>
      <name val="Calibri"/>
      <b val="1"/>
      <color rgb="001F4E79"/>
      <sz val="16"/>
    </font>
    <font>
      <name val="Calibri"/>
      <b val="1"/>
    </font>
    <font>
      <name val="Calibri"/>
      <b val="1"/>
      <color rgb="00FFFFFF"/>
      <sz val="11"/>
    </font>
    <font>
      <name val="Calibri"/>
      <b val="1"/>
      <sz val="10"/>
    </font>
    <font>
      <name val="Calibri"/>
      <sz val="10"/>
    </font>
    <font>
      <b val="1"/>
    </font>
    <font>
      <b val="1"/>
      <color rgb="001F4E79"/>
      <sz val="16"/>
    </font>
    <font>
      <b val="1"/>
      <color rgb="001F4E79"/>
      <sz val="14"/>
    </font>
  </fonts>
  <fills count="8">
    <fill>
      <patternFill/>
    </fill>
    <fill>
      <patternFill patternType="gray125"/>
    </fill>
    <fill>
      <patternFill patternType="solid">
        <fgColor rgb="001F4E79"/>
      </patternFill>
    </fill>
    <fill>
      <patternFill patternType="solid">
        <fgColor rgb="00F4B183"/>
      </patternFill>
    </fill>
    <fill>
      <patternFill patternType="solid">
        <fgColor rgb="00DDEBF7"/>
      </patternFill>
    </fill>
    <fill>
      <patternFill patternType="solid">
        <fgColor rgb="00E2EFDA"/>
      </patternFill>
    </fill>
    <fill>
      <patternFill patternType="solid">
        <fgColor rgb="00FFF2CC"/>
      </patternFill>
    </fill>
    <fill>
      <patternFill patternType="solid">
        <f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1" applyAlignment="1" pivotButton="0" quotePrefix="0" xfId="0">
      <alignment vertical="center" wrapText="1"/>
    </xf>
    <xf numFmtId="0" fontId="0" fillId="0" borderId="1" applyAlignment="1" pivotButton="0" quotePrefix="0" xfId="0">
      <alignment vertical="center" wrapText="1"/>
    </xf>
    <xf numFmtId="164" fontId="0" fillId="0" borderId="1" applyAlignment="1" pivotButton="0" quotePrefix="0" xfId="0">
      <alignment vertical="center" wrapText="1"/>
    </xf>
    <xf numFmtId="3" fontId="0" fillId="0" borderId="1" applyAlignment="1" pivotButton="0" quotePrefix="0" xfId="0">
      <alignment vertical="center" wrapText="1"/>
    </xf>
    <xf numFmtId="165" fontId="0"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0" pivotButton="0" quotePrefix="0" xfId="0"/>
    <xf numFmtId="0" fontId="4" fillId="3" borderId="1" applyAlignment="1" pivotButton="0" quotePrefix="0" xfId="0">
      <alignment vertical="center" wrapText="1"/>
    </xf>
    <xf numFmtId="164" fontId="4" fillId="3" borderId="1" applyAlignment="1" pivotButton="0" quotePrefix="0" xfId="0">
      <alignment vertical="center" wrapText="1"/>
    </xf>
    <xf numFmtId="3" fontId="4" fillId="3" borderId="1" applyAlignment="1" pivotButton="0" quotePrefix="0" xfId="0">
      <alignment vertical="center" wrapText="1"/>
    </xf>
    <xf numFmtId="165" fontId="4" fillId="3" borderId="1" applyAlignment="1" pivotButton="0" quotePrefix="0" xfId="0">
      <alignment vertical="center" wrapText="1"/>
    </xf>
    <xf numFmtId="166" fontId="4" fillId="3" borderId="1" applyAlignment="1" pivotButton="0" quotePrefix="0" xfId="0">
      <alignment vertical="center" wrapText="1"/>
    </xf>
    <xf numFmtId="165" fontId="0" fillId="0" borderId="0" pivotButton="0" quotePrefix="0" xfId="0"/>
    <xf numFmtId="0" fontId="5" fillId="4" borderId="1" applyAlignment="1" pivotButton="0" quotePrefix="0" xfId="0">
      <alignment vertical="center" wrapText="1"/>
    </xf>
    <xf numFmtId="164" fontId="5" fillId="4" borderId="1" applyAlignment="1" pivotButton="0" quotePrefix="0" xfId="0">
      <alignment vertical="center" wrapText="1"/>
    </xf>
    <xf numFmtId="3" fontId="5" fillId="4" borderId="1" applyAlignment="1" pivotButton="0" quotePrefix="0" xfId="0">
      <alignment vertical="center" wrapText="1"/>
    </xf>
    <xf numFmtId="165" fontId="5" fillId="4" borderId="1" applyAlignment="1" pivotButton="0" quotePrefix="0" xfId="0">
      <alignment vertical="center" wrapText="1"/>
    </xf>
    <xf numFmtId="166" fontId="5" fillId="4" borderId="1" applyAlignment="1" pivotButton="0" quotePrefix="0" xfId="0">
      <alignment vertical="center" wrapText="1"/>
    </xf>
    <xf numFmtId="0" fontId="5" fillId="5" borderId="1" applyAlignment="1" pivotButton="0" quotePrefix="0" xfId="0">
      <alignment vertical="center" wrapText="1"/>
    </xf>
    <xf numFmtId="164" fontId="5" fillId="5" borderId="1" applyAlignment="1" pivotButton="0" quotePrefix="0" xfId="0">
      <alignment vertical="center" wrapText="1"/>
    </xf>
    <xf numFmtId="3" fontId="5" fillId="5" borderId="1" applyAlignment="1" pivotButton="0" quotePrefix="0" xfId="0">
      <alignment vertical="center" wrapText="1"/>
    </xf>
    <xf numFmtId="165" fontId="5" fillId="5" borderId="1" applyAlignment="1" pivotButton="0" quotePrefix="0" xfId="0">
      <alignment vertical="center" wrapText="1"/>
    </xf>
    <xf numFmtId="166" fontId="5" fillId="5" borderId="1" applyAlignment="1" pivotButton="0" quotePrefix="0" xfId="0">
      <alignment vertical="center" wrapText="1"/>
    </xf>
    <xf numFmtId="0" fontId="6" fillId="0" borderId="0" pivotButton="0" quotePrefix="0" xfId="0"/>
    <xf numFmtId="165" fontId="0" fillId="6" borderId="0" pivotButton="0" quotePrefix="0" xfId="0"/>
    <xf numFmtId="0" fontId="7" fillId="0" borderId="0" pivotButton="0" quotePrefix="0" xfId="0"/>
    <xf numFmtId="0" fontId="0" fillId="0" borderId="0" applyAlignment="1" pivotButton="0" quotePrefix="0" xfId="0">
      <alignment wrapText="1"/>
    </xf>
    <xf numFmtId="0" fontId="6" fillId="0" borderId="1" applyAlignment="1" pivotButton="0" quotePrefix="0" xfId="0">
      <alignment vertical="center" wrapText="1"/>
    </xf>
    <xf numFmtId="165" fontId="0" fillId="6" borderId="1" applyAlignment="1" pivotButton="0" quotePrefix="0" xfId="0">
      <alignment vertical="center" wrapText="1"/>
    </xf>
    <xf numFmtId="164" fontId="0" fillId="6" borderId="1" applyAlignment="1" pivotButton="0" quotePrefix="0" xfId="0">
      <alignment vertical="center" wrapText="1"/>
    </xf>
    <xf numFmtId="166" fontId="0" fillId="0" borderId="1" applyAlignment="1" pivotButton="0" quotePrefix="0" xfId="0">
      <alignment vertical="center" wrapText="1"/>
    </xf>
    <xf numFmtId="0" fontId="8" fillId="0" borderId="0" pivotButton="0" quotePrefix="0" xfId="0"/>
    <xf numFmtId="0" fontId="3" fillId="2" borderId="0" applyAlignment="1" pivotButton="0" quotePrefix="0" xfId="0">
      <alignment vertical="center" wrapText="1"/>
    </xf>
    <xf numFmtId="165" fontId="6" fillId="6"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center" wrapText="1"/>
    </xf>
    <xf numFmtId="0" fontId="0"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Price per living square foot</a:t>
            </a:r>
          </a:p>
        </rich>
      </tx>
    </title>
    <plotArea>
      <barChart>
        <barDir val="bar"/>
        <grouping val="clustered"/>
        <ser>
          <idx val="0"/>
          <order val="0"/>
          <tx>
            <strRef>
              <f>'Comps'!M1</f>
            </strRef>
          </tx>
          <spPr>
            <a:ln xmlns:a="http://schemas.openxmlformats.org/drawingml/2006/main">
              <a:prstDash val="solid"/>
            </a:ln>
          </spPr>
          <cat>
            <numRef>
              <f>'Comps'!$B$2:$B$12</f>
            </numRef>
          </cat>
          <val>
            <numRef>
              <f>'Comps'!$M$2:$M$12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Dollars per living sq ft</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Address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8"/>
  <sheetViews>
    <sheetView workbookViewId="0">
      <selection activeCell="A1" sqref="A1"/>
    </sheetView>
  </sheetViews>
  <sheetFormatPr baseColWidth="8" defaultRowHeight="15"/>
  <cols>
    <col width="120" customWidth="1" min="1" max="1"/>
  </cols>
  <sheetData>
    <row r="1">
      <c r="A1" s="1" t="inlineStr">
        <is>
          <t>Lakewood Ranch home comparison</t>
        </is>
      </c>
    </row>
    <row r="2" ht="90" customHeight="1">
      <c r="A2" s="2" t="inlineStr">
        <is>
          <t>Add the next house as a new row on the Comps sheet. Set Role to Subject, Active, or Sold. Price per living sq ft and the gap versus 13994 calculate themselves. Yellow cells on Valuation are the only inputs. Use living area, never total under-roof area. 13394 Siena Loop is not a parcel; this file analyzes 13994 Siena Loop. The Permits sheet is the Manatee County check of the agent's equipment dates. The Sale history sheet is every recorded sale on the 68 Siena Loop houses, from the property appraiser. Pulled 23 Oct 2026 (Pacific). Desk comparison, not an appraisal.</t>
        </is>
      </c>
    </row>
    <row r="3"/>
    <row r="4"/>
    <row r="5"/>
    <row r="6"/>
    <row r="7"/>
    <row r="8"/>
  </sheetData>
  <mergeCells count="1">
    <mergeCell ref="A2:A8"/>
  </mergeCells>
  <pageMargins left="0.75" right="0.75" top="1" bottom="1" header="0.5" footer="0.5"/>
  <pageSetup orientation="landscape" paperSize="3" fitToHeight="1" fitToWidth="1"/>
  <headerFooter>
    <oddHeader/>
    <oddFooter>&amp;RPage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23"/>
  <sheetViews>
    <sheetView workbookViewId="0">
      <pane ySplit="1" topLeftCell="A2" activePane="bottomLeft" state="frozen"/>
      <selection pane="bottomLeft" activeCell="A1" sqref="A1"/>
    </sheetView>
  </sheetViews>
  <sheetFormatPr baseColWidth="8" defaultRowHeight="15"/>
  <cols>
    <col width="38" customWidth="1" min="1" max="1"/>
    <col width="28" customWidth="1" min="2" max="2"/>
    <col width="88" customWidth="1" min="3" max="3"/>
  </cols>
  <sheetData>
    <row r="1" ht="32" customHeight="1">
      <c r="A1" s="3" t="inlineStr">
        <is>
          <t>Address analyzed</t>
        </is>
      </c>
      <c r="B1" s="4" t="inlineStr">
        <is>
          <t>13994 Siena Loop</t>
        </is>
      </c>
      <c r="C1" s="4" t="inlineStr">
        <is>
          <t>User typed 13394. No Manatee parcel uses that number. Tax roll also spells the street SIENNA.</t>
        </is>
      </c>
    </row>
    <row r="2" ht="32" customHeight="1">
      <c r="A2" s="3" t="inlineStr">
        <is>
          <t>MLS</t>
        </is>
      </c>
      <c r="B2" s="4" t="inlineStr">
        <is>
          <t>A4704244</t>
        </is>
      </c>
      <c r="C2" s="4" t="inlineStr">
        <is>
          <t>Stellar / My Florida Regional. Listed 4 Sep 2026 by Katina and Kenneth Shanahan, Coldwell Banker.</t>
        </is>
      </c>
    </row>
    <row r="3" ht="32" customHeight="1">
      <c r="A3" s="3" t="inlineStr">
        <is>
          <t>Status as of 23 Oct 2026</t>
        </is>
      </c>
      <c r="B3" s="4" t="inlineStr">
        <is>
          <t>Active, 49 days, two offers rejected</t>
        </is>
      </c>
      <c r="C3" s="4" t="inlineStr">
        <is>
          <t>No price cut. The listing agent told our broker the owners rejected two offers, both under $1,000,000. The amounts were not disclosed.</t>
        </is>
      </c>
    </row>
    <row r="4" ht="32" customHeight="1">
      <c r="A4" s="3" t="inlineStr">
        <is>
          <t>Ask</t>
        </is>
      </c>
      <c r="B4" s="5" t="n">
        <v>1195000</v>
      </c>
      <c r="C4" s="4" t="inlineStr">
        <is>
          <t>No price reduction since the list date.</t>
        </is>
      </c>
    </row>
    <row r="5" ht="32" customHeight="1">
      <c r="A5" s="3" t="inlineStr">
        <is>
          <t>Living area</t>
        </is>
      </c>
      <c r="B5" s="6" t="n">
        <v>2623</v>
      </c>
      <c r="C5" s="4" t="inlineStr">
        <is>
          <t>Public-record living area. This is the denominator for every $/sf figure in this file.</t>
        </is>
      </c>
    </row>
    <row r="6" ht="32" customHeight="1">
      <c r="A6" s="3" t="inlineStr">
        <is>
          <t>Total building area</t>
        </is>
      </c>
      <c r="B6" s="6" t="n">
        <v>3548</v>
      </c>
      <c r="C6" s="4" t="inlineStr">
        <is>
          <t>Garage and lanai are inside this number. Ask divided by 3,548 is about $337/sf and is not comparable.</t>
        </is>
      </c>
    </row>
    <row r="7" ht="32" customHeight="1">
      <c r="A7" s="3" t="inlineStr">
        <is>
          <t>Ask per living sq ft</t>
        </is>
      </c>
      <c r="B7" s="7" t="n">
        <v>455.59</v>
      </c>
      <c r="C7" s="4" t="inlineStr">
        <is>
          <t>1,195,000 / 2,623.</t>
        </is>
      </c>
    </row>
    <row r="8" ht="32" customHeight="1">
      <c r="A8" s="3" t="inlineStr">
        <is>
          <t>Beds / baths</t>
        </is>
      </c>
      <c r="B8" s="4" t="inlineStr">
        <is>
          <t>3 / 3</t>
        </is>
      </c>
      <c r="C8" s="4" t="inlineStr">
        <is>
          <t>The third bath serves the office and the pool. Guest bedrooms share one bath. Office is not a fourth bedroom.</t>
        </is>
      </c>
    </row>
    <row r="9" ht="32" customHeight="1">
      <c r="A9" s="3" t="inlineStr">
        <is>
          <t>Year built / stories</t>
        </is>
      </c>
      <c r="B9" s="4" t="inlineStr">
        <is>
          <t>2006 / one story</t>
        </is>
      </c>
      <c r="C9" s="4" t="inlineStr">
        <is>
          <t>Permit CMP-05031188 completed 28 Feb 2006. Neal Communities of Southwest Florida. Concrete block, tile roof, gas.</t>
        </is>
      </c>
    </row>
    <row r="10" ht="32" customHeight="1">
      <c r="A10" s="3" t="inlineStr">
        <is>
          <t>Lot</t>
        </is>
      </c>
      <c r="B10" s="4" t="inlineStr">
        <is>
          <t>0.23 acres / 9,810 sf</t>
        </is>
      </c>
      <c r="C10" s="4" t="inlineStr">
        <is>
          <t>Lot 47, Block A. Legal: Country Club Village subphase R, Siena, and subphase S, Mizner Reserve.</t>
        </is>
      </c>
    </row>
    <row r="11" ht="32" customHeight="1">
      <c r="A11" s="3" t="inlineStr">
        <is>
          <t>Parcel</t>
        </is>
      </c>
      <c r="B11" s="4" t="inlineStr">
        <is>
          <t>588502359</t>
        </is>
      </c>
      <c r="C11" s="4" t="inlineStr">
        <is>
          <t>Listing says zoning A/WPE. The 2024 Accela record says PD-MU. Flood zone X on both.</t>
        </is>
      </c>
    </row>
    <row r="12" ht="32" customHeight="1">
      <c r="A12" s="3" t="inlineStr">
        <is>
          <t>Owners of record</t>
        </is>
      </c>
      <c r="B12" s="4" t="inlineStr">
        <is>
          <t>Timothy P. and Shannon L. Moriarty</t>
        </is>
      </c>
      <c r="C12" s="4" t="inlineStr">
        <is>
          <t>Homestead and Additional Homestead. Mortgage escrow is PHH. Public tax roll.</t>
        </is>
      </c>
    </row>
    <row r="13" ht="32" customHeight="1">
      <c r="A13" s="3" t="inlineStr">
        <is>
          <t>Last sale</t>
        </is>
      </c>
      <c r="B13" s="5" t="n">
        <v>445000</v>
      </c>
      <c r="C13" s="4" t="inlineStr">
        <is>
          <t>Sold 21 May 2020, prior MLS A4436936. Listed 24 May 2019 at $540,000 and cut five times.</t>
        </is>
      </c>
    </row>
    <row r="14" ht="32" customHeight="1">
      <c r="A14" s="3" t="inlineStr">
        <is>
          <t>2025 market / assessed</t>
        </is>
      </c>
      <c r="B14" s="4" t="inlineStr">
        <is>
          <t>713184 / 692095</t>
        </is>
      </c>
      <c r="C14" s="4" t="inlineStr">
        <is>
          <t>Save Our Homes keeps assessed value under market value. Market value is still far under the ask.</t>
        </is>
      </c>
    </row>
    <row r="15" ht="32" customHeight="1">
      <c r="A15" s="3" t="inlineStr">
        <is>
          <t>2025 tax bill</t>
        </is>
      </c>
      <c r="B15" s="7" t="n">
        <v>13012.6</v>
      </c>
      <c r="C15" s="4" t="inlineStr">
        <is>
          <t>Paid 1 Dec 2025 from escrow, $12,492.10 after discount. Bill includes the CDD.</t>
        </is>
      </c>
    </row>
    <row r="16" ht="32" customHeight="1">
      <c r="A16" s="3" t="inlineStr">
        <is>
          <t>Of which ad valorem</t>
        </is>
      </c>
      <c r="B16" s="7" t="n">
        <v>9244.01</v>
      </c>
      <c r="C16" s="4" t="inlineStr">
        <is>
          <t>Millage 14.160 combined. School exemption $25,000. Non-school exemption $50,722.</t>
        </is>
      </c>
    </row>
    <row r="17" ht="32" customHeight="1">
      <c r="A17" s="3" t="inlineStr">
        <is>
          <t>Of which non-ad valorem</t>
        </is>
      </c>
      <c r="B17" s="7" t="n">
        <v>3768.59</v>
      </c>
      <c r="C17" s="4" t="inlineStr">
        <is>
          <t>CDD 5 operations $3,165.87, CDD debt $330.66, East Manatee fire $272.06.</t>
        </is>
      </c>
    </row>
    <row r="18" ht="32" customHeight="1">
      <c r="A18" s="3" t="inlineStr">
        <is>
          <t>MLS association fee</t>
        </is>
      </c>
      <c r="B18" s="5" t="n">
        <v>135</v>
      </c>
      <c r="C18" s="4" t="inlineStr">
        <is>
          <t>Per year, Lakewood Ranch Town Hall. This is not the Siena maintenance fee. Neighbors disclose $175–$188 per month.</t>
        </is>
      </c>
    </row>
    <row r="19" ht="32" customHeight="1">
      <c r="A19" s="3" t="inlineStr">
        <is>
          <t>Roof</t>
        </is>
      </c>
      <c r="B19" s="4" t="inlineStr">
        <is>
          <t>Original tile, completed 28 Feb 2006</t>
        </is>
      </c>
      <c r="C19" s="4" t="inlineStr">
        <is>
          <t>CMP-05031188. No reroof permit in the 2006–2018 archive or the live GIS layer. The agent's 20-year age matches. Planning range to replace tile is $40,000–$80,000, not a bid.</t>
        </is>
      </c>
    </row>
    <row r="20" ht="32" customHeight="1">
      <c r="A20" s="3" t="inlineStr">
        <is>
          <t>HVAC</t>
        </is>
      </c>
      <c r="B20" s="4" t="inlineStr">
        <is>
          <t>One permitted changeout, 30 May 2024</t>
        </is>
      </c>
      <c r="C20" s="4" t="inlineStr">
        <is>
          <t>BLD2405-3790, like for like, $9,524, Arctic Air. GIS certificate date 22 May 2026. Accela lists no completed inspections. No permit was found for the agent's 2017 system.</t>
        </is>
      </c>
    </row>
    <row r="21" ht="32" customHeight="1">
      <c r="A21" s="3" t="inlineStr">
        <is>
          <t>Pool</t>
        </is>
      </c>
      <c r="B21" s="4" t="inlineStr">
        <is>
          <t>Original pool and cage, 2006</t>
        </is>
      </c>
      <c r="C21" s="4" t="inlineStr">
        <is>
          <t>Pool completed 25 May 2006 (CMP-05070213). Mansard cage completed 7 Mar 2006 (CMP-06011072). No 2020 heater permit was found.</t>
        </is>
      </c>
    </row>
    <row r="22" ht="32" customHeight="1">
      <c r="A22" s="3" t="inlineStr">
        <is>
          <t>Orientation</t>
        </is>
      </c>
      <c r="B22" s="4" t="inlineStr">
        <is>
          <t>Front faces east</t>
        </is>
      </c>
      <c r="C22" s="4" t="inlineStr">
        <is>
          <t>Photo captions describe a west-facing lanai and sunsets. Consistent with a rear-west plan.</t>
        </is>
      </c>
    </row>
    <row r="23" ht="32" customHeight="1">
      <c r="A23" s="3" t="inlineStr">
        <is>
          <t>Schools</t>
        </is>
      </c>
      <c r="B23" s="4" t="inlineStr">
        <is>
          <t>Willis / Nolan / Lakewood Ranch High</t>
        </is>
      </c>
      <c r="C23" s="4" t="inlineStr">
        <is>
          <t>Public assignment. Confirm boundaries before relying on them.</t>
        </is>
      </c>
    </row>
  </sheetData>
  <autoFilter ref="A1:C23"/>
  <pageMargins left="0.75" right="0.75" top="1" bottom="1" header="0.5" footer="0.5"/>
  <pageSetup orientation="landscape" paperSize="3" fitToHeight="1" fitToWidth="1"/>
  <headerFooter>
    <oddHeader>&amp;L13994 Siena Loop desk file</oddHeader>
    <oddFooter>&amp;RPage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8" customWidth="1" min="3" max="3"/>
    <col width="14" customWidth="1" min="4" max="4"/>
    <col width="14" customWidth="1" min="5" max="5"/>
    <col width="16" customWidth="1" min="6" max="6"/>
    <col width="8" customWidth="1" min="7" max="7"/>
    <col width="12" customWidth="1" min="8" max="8"/>
    <col width="12" customWidth="1" min="9" max="9"/>
    <col width="8" customWidth="1" min="10" max="10"/>
    <col width="12" customWidth="1" min="11" max="11"/>
    <col width="18" customWidth="1" min="12" max="12"/>
    <col width="14" customWidth="1" min="13" max="13"/>
    <col width="18" customWidth="1" min="14" max="14"/>
    <col width="18" customWidth="1" min="15" max="15"/>
    <col width="16" customWidth="1" min="16" max="16"/>
    <col width="62" customWidth="1" min="17" max="17"/>
    <col width="32" customWidth="1" min="18" max="18"/>
    <col hidden="1" width="13" customWidth="1" min="19" max="19"/>
  </cols>
  <sheetData>
    <row r="1" ht="32" customHeight="1">
      <c r="A1" s="8" t="inlineStr">
        <is>
          <t>Role</t>
        </is>
      </c>
      <c r="B1" s="8" t="inlineStr">
        <is>
          <t>Address</t>
        </is>
      </c>
      <c r="C1" s="8" t="inlineStr">
        <is>
          <t>Status</t>
        </is>
      </c>
      <c r="D1" s="8" t="inlineStr">
        <is>
          <t>As of</t>
        </is>
      </c>
      <c r="E1" s="8" t="inlineStr">
        <is>
          <t>Price</t>
        </is>
      </c>
      <c r="F1" s="8" t="inlineStr">
        <is>
          <t>Original ask</t>
        </is>
      </c>
      <c r="G1" s="8" t="inlineStr">
        <is>
          <t>Beds</t>
        </is>
      </c>
      <c r="H1" s="8" t="inlineStr">
        <is>
          <t>Baths</t>
        </is>
      </c>
      <c r="I1" s="8" t="inlineStr">
        <is>
          <t>Living sf</t>
        </is>
      </c>
      <c r="J1" s="8" t="inlineStr">
        <is>
          <t>Year</t>
        </is>
      </c>
      <c r="K1" s="8" t="inlineStr">
        <is>
          <t>Lot acres</t>
        </is>
      </c>
      <c r="L1" s="8" t="inlineStr">
        <is>
          <t>View</t>
        </is>
      </c>
      <c r="M1" s="8" t="inlineStr">
        <is>
          <t>$ / living sf</t>
        </is>
      </c>
      <c r="N1" s="8" t="inlineStr">
        <is>
          <t>Gap vs subject $</t>
        </is>
      </c>
      <c r="O1" s="8" t="inlineStr">
        <is>
          <t>Gap vs subject $/sf</t>
        </is>
      </c>
      <c r="P1" s="8" t="inlineStr">
        <is>
          <t>Subject premium</t>
        </is>
      </c>
      <c r="Q1" s="8" t="inlineStr">
        <is>
          <t>Updates</t>
        </is>
      </c>
      <c r="R1" s="8" t="inlineStr">
        <is>
          <t>Source</t>
        </is>
      </c>
      <c r="S1" s="9" t="inlineStr">
        <is>
          <t>Sold $/sf helper</t>
        </is>
      </c>
    </row>
    <row r="2" ht="36" customHeight="1">
      <c r="A2" s="10" t="inlineStr">
        <is>
          <t>Subject</t>
        </is>
      </c>
      <c r="B2" s="10" t="inlineStr">
        <is>
          <t>13994 Siena Loop</t>
        </is>
      </c>
      <c r="C2" s="10" t="inlineStr">
        <is>
          <t>Active</t>
        </is>
      </c>
      <c r="D2" s="10" t="inlineStr">
        <is>
          <t>2026-10-23</t>
        </is>
      </c>
      <c r="E2" s="11" t="n">
        <v>1195000</v>
      </c>
      <c r="F2" s="11" t="n">
        <v>1195000</v>
      </c>
      <c r="G2" s="10" t="n">
        <v>3</v>
      </c>
      <c r="H2" s="10" t="inlineStr">
        <is>
          <t>3</t>
        </is>
      </c>
      <c r="I2" s="12" t="n">
        <v>2623</v>
      </c>
      <c r="J2" s="10" t="n">
        <v>2006</v>
      </c>
      <c r="K2" s="10" t="n">
        <v>0.23</v>
      </c>
      <c r="L2" s="10" t="inlineStr">
        <is>
          <t>Golf and lake</t>
        </is>
      </c>
      <c r="M2" s="13">
        <f>IF(I2="","",E2/I2)</f>
        <v/>
      </c>
      <c r="N2" s="11">
        <f>IF(E2="","",$E$2-E2)</f>
        <v/>
      </c>
      <c r="O2" s="13">
        <f>IF(M2="","",$M$2-M2)</f>
        <v/>
      </c>
      <c r="P2" s="14">
        <f>IF(OR(E2="",E2=0),"",($E$2-E2)/E2)</f>
        <v/>
      </c>
      <c r="Q2" s="10" t="inlineStr">
        <is>
          <t>Permits: original tile roof completed 28 Feb 2006 (CMP-05031188). One HVAC changeout issued 30 May 2024 (BLD2405-3790). No 2017 HVAC permit and no 2020 pool-heater permit.</t>
        </is>
      </c>
      <c r="R2" s="10" t="inlineStr">
        <is>
          <t>MLS A4704244</t>
        </is>
      </c>
      <c r="S2" s="15">
        <f>IF(A2="Sold",M2,NA())</f>
        <v/>
      </c>
    </row>
    <row r="3" ht="36" customHeight="1">
      <c r="A3" s="16" t="inlineStr">
        <is>
          <t>Active</t>
        </is>
      </c>
      <c r="B3" s="16" t="inlineStr">
        <is>
          <t>13978 Siena Loop</t>
        </is>
      </c>
      <c r="C3" s="16" t="inlineStr">
        <is>
          <t>Under contract, backups</t>
        </is>
      </c>
      <c r="D3" s="16" t="inlineStr">
        <is>
          <t>2026-10-23</t>
        </is>
      </c>
      <c r="E3" s="17" t="n">
        <v>899000</v>
      </c>
      <c r="F3" s="17" t="n">
        <v>899000</v>
      </c>
      <c r="G3" s="16" t="n">
        <v>3</v>
      </c>
      <c r="H3" s="16" t="inlineStr">
        <is>
          <t>3</t>
        </is>
      </c>
      <c r="I3" s="18" t="n">
        <v>2673</v>
      </c>
      <c r="J3" s="16" t="n">
        <v>2004</v>
      </c>
      <c r="K3" s="16" t="n">
        <v>0.21</v>
      </c>
      <c r="L3" s="16" t="inlineStr">
        <is>
          <t>Golf and lake</t>
        </is>
      </c>
      <c r="M3" s="19">
        <f>IF(I3="","",E3/I3)</f>
        <v/>
      </c>
      <c r="N3" s="17">
        <f>IF(E3="","",$E$2-E3)</f>
        <v/>
      </c>
      <c r="O3" s="19">
        <f>IF(M3="","",$M$2-M3)</f>
        <v/>
      </c>
      <c r="P3" s="20">
        <f>IF(OR(E3="",E3=0),"",($E$2-E3)/E3)</f>
        <v/>
      </c>
      <c r="Q3" s="16" t="inlineStr">
        <is>
          <t>4-ton 16 SEER AC replaced Apr 2026; softener; new pool coping and tile</t>
        </is>
      </c>
      <c r="R3" s="16" t="inlineStr">
        <is>
          <t>MLS A4705315</t>
        </is>
      </c>
      <c r="S3" s="15">
        <f>IF(A3="Sold",M3,NA())</f>
        <v/>
      </c>
    </row>
    <row r="4" ht="36" customHeight="1">
      <c r="A4" s="16" t="inlineStr">
        <is>
          <t>Active</t>
        </is>
      </c>
      <c r="B4" s="16" t="inlineStr">
        <is>
          <t>13853 Siena Loop</t>
        </is>
      </c>
      <c r="C4" s="16" t="inlineStr">
        <is>
          <t>Active</t>
        </is>
      </c>
      <c r="D4" s="16" t="inlineStr">
        <is>
          <t>2026-04-28</t>
        </is>
      </c>
      <c r="E4" s="17" t="n">
        <v>774000</v>
      </c>
      <c r="F4" s="17" t="n">
        <v>779000</v>
      </c>
      <c r="G4" s="16" t="n">
        <v>3</v>
      </c>
      <c r="H4" s="16" t="inlineStr">
        <is>
          <t>2 + office</t>
        </is>
      </c>
      <c r="I4" s="18" t="n">
        <v>2321</v>
      </c>
      <c r="J4" s="16" t="n">
        <v>2005</v>
      </c>
      <c r="K4" s="16" t="n"/>
      <c r="L4" s="16" t="inlineStr">
        <is>
          <t>Pond</t>
        </is>
      </c>
      <c r="M4" s="19">
        <f>IF(I4="","",E4/I4)</f>
        <v/>
      </c>
      <c r="N4" s="17">
        <f>IF(E4="","",$E$2-E4)</f>
        <v/>
      </c>
      <c r="O4" s="19">
        <f>IF(M4="","",$M$2-M4)</f>
        <v/>
      </c>
      <c r="P4" s="20">
        <f>IF(OR(E4="",E4=0),"",($E$2-E4)/E4)</f>
        <v/>
      </c>
      <c r="Q4" s="16" t="inlineStr">
        <is>
          <t>Recent HVAC and water heater; rescreened lanai; saltwater heated pool</t>
        </is>
      </c>
      <c r="R4" s="16" t="inlineStr">
        <is>
          <t>MLS A4666855</t>
        </is>
      </c>
      <c r="S4" s="15">
        <f>IF(A4="Sold",M4,NA())</f>
        <v/>
      </c>
    </row>
    <row r="5" ht="36" customHeight="1">
      <c r="A5" s="16" t="inlineStr">
        <is>
          <t>Active</t>
        </is>
      </c>
      <c r="B5" s="16" t="inlineStr">
        <is>
          <t>13860 Siena Loop</t>
        </is>
      </c>
      <c r="C5" s="16" t="inlineStr">
        <is>
          <t>Active</t>
        </is>
      </c>
      <c r="D5" s="16" t="inlineStr">
        <is>
          <t>2026-09-09</t>
        </is>
      </c>
      <c r="E5" s="17" t="n">
        <v>949999</v>
      </c>
      <c r="F5" s="17" t="n">
        <v>1056000</v>
      </c>
      <c r="G5" s="16" t="n">
        <v>3</v>
      </c>
      <c r="H5" s="16" t="inlineStr">
        <is>
          <t>3.5</t>
        </is>
      </c>
      <c r="I5" s="18" t="n">
        <v>3187</v>
      </c>
      <c r="J5" s="16" t="n"/>
      <c r="K5" s="16" t="n">
        <v>0.21</v>
      </c>
      <c r="L5" s="16" t="inlineStr">
        <is>
          <t>Country club</t>
        </is>
      </c>
      <c r="M5" s="19">
        <f>IF(I5="","",E5/I5)</f>
        <v/>
      </c>
      <c r="N5" s="17">
        <f>IF(E5="","",$E$2-E5)</f>
        <v/>
      </c>
      <c r="O5" s="19">
        <f>IF(M5="","",$M$2-M5)</f>
        <v/>
      </c>
      <c r="P5" s="20">
        <f>IF(OR(E5="",E5=0),"",($E$2-E5)/E5)</f>
        <v/>
      </c>
      <c r="Q5" s="16" t="inlineStr">
        <is>
          <t>Lennox AC 2024; water heater 2025. Original ask inferred from a reported 5.4% cut to $999,000</t>
        </is>
      </c>
      <c r="R5" s="16" t="inlineStr">
        <is>
          <t>MLS TB8526072</t>
        </is>
      </c>
      <c r="S5" s="15">
        <f>IF(A5="Sold",M5,NA())</f>
        <v/>
      </c>
    </row>
    <row r="6" ht="36" customHeight="1">
      <c r="A6" s="16" t="inlineStr">
        <is>
          <t>Active</t>
        </is>
      </c>
      <c r="B6" s="16" t="inlineStr">
        <is>
          <t>13911 Siena Loop</t>
        </is>
      </c>
      <c r="C6" s="16" t="inlineStr">
        <is>
          <t>Active</t>
        </is>
      </c>
      <c r="D6" s="16" t="inlineStr">
        <is>
          <t>2026-08-20</t>
        </is>
      </c>
      <c r="E6" s="17" t="n">
        <v>995000</v>
      </c>
      <c r="F6" s="17" t="n">
        <v>1295000</v>
      </c>
      <c r="G6" s="16" t="n">
        <v>4</v>
      </c>
      <c r="H6" s="16" t="inlineStr">
        <is>
          <t>3.5</t>
        </is>
      </c>
      <c r="I6" s="18" t="n">
        <v>3216</v>
      </c>
      <c r="J6" s="16" t="n">
        <v>2004</v>
      </c>
      <c r="K6" s="16" t="n">
        <v>0.27</v>
      </c>
      <c r="L6" s="16" t="inlineStr">
        <is>
          <t>Lake</t>
        </is>
      </c>
      <c r="M6" s="19">
        <f>IF(I6="","",E6/I6)</f>
        <v/>
      </c>
      <c r="N6" s="17">
        <f>IF(E6="","",$E$2-E6)</f>
        <v/>
      </c>
      <c r="O6" s="19">
        <f>IF(M6="","",$M$2-M6)</f>
        <v/>
      </c>
      <c r="P6" s="20">
        <f>IF(OR(E6="",E6=0),"",($E$2-E6)/E6)</f>
        <v/>
      </c>
      <c r="Q6" s="16" t="inlineStr">
        <is>
          <t>AC 2024; pool heater 2023; 3-car garage; outdoor kitchen. Remarks say 3–4 bedrooms because of a media room. Listed 16 Jan 2026</t>
        </is>
      </c>
      <c r="R6" s="16" t="inlineStr">
        <is>
          <t>MLS A4678185</t>
        </is>
      </c>
      <c r="S6" s="15">
        <f>IF(A6="Sold",M6,NA())</f>
        <v/>
      </c>
    </row>
    <row r="7" ht="36" customHeight="1">
      <c r="A7" s="21" t="inlineStr">
        <is>
          <t>Sold</t>
        </is>
      </c>
      <c r="B7" s="21" t="inlineStr">
        <is>
          <t>13828 Siena Loop</t>
        </is>
      </c>
      <c r="C7" s="21" t="inlineStr">
        <is>
          <t>Sold 2026-06-01</t>
        </is>
      </c>
      <c r="D7" s="21" t="inlineStr">
        <is>
          <t>2026-06-01</t>
        </is>
      </c>
      <c r="E7" s="22" t="n">
        <v>799000</v>
      </c>
      <c r="F7" s="22" t="n">
        <v>820000</v>
      </c>
      <c r="G7" s="21" t="n">
        <v>3</v>
      </c>
      <c r="H7" s="21" t="inlineStr">
        <is>
          <t>2 + office</t>
        </is>
      </c>
      <c r="I7" s="23" t="n">
        <v>2311</v>
      </c>
      <c r="J7" s="21" t="n">
        <v>2003</v>
      </c>
      <c r="K7" s="21" t="n">
        <v>0.18</v>
      </c>
      <c r="L7" s="21" t="inlineStr">
        <is>
          <t>Golf, rear view</t>
        </is>
      </c>
      <c r="M7" s="24">
        <f>IF(I7="","",E7/I7)</f>
        <v/>
      </c>
      <c r="N7" s="22">
        <f>IF(E7="","",$E$2-E7)</f>
        <v/>
      </c>
      <c r="O7" s="24">
        <f>IF(M7="","",$M$2-M7)</f>
        <v/>
      </c>
      <c r="P7" s="25">
        <f>IF(OR(E7="",E7=0),"",($E$2-E7)/E7)</f>
        <v/>
      </c>
      <c r="Q7" s="21" t="inlineStr">
        <is>
          <t>Brand-new tile roof; new pool heater; cage rescreened and repainted; outdoor kitchen</t>
        </is>
      </c>
      <c r="R7" s="21" t="inlineStr">
        <is>
          <t>MLS A4687316</t>
        </is>
      </c>
      <c r="S7" s="15">
        <f>IF(A7="Sold",M7,NA())</f>
        <v/>
      </c>
    </row>
    <row r="8" ht="36" customHeight="1">
      <c r="A8" s="21" t="inlineStr">
        <is>
          <t>Sold</t>
        </is>
      </c>
      <c r="B8" s="21" t="inlineStr">
        <is>
          <t>13804 Siena Loop</t>
        </is>
      </c>
      <c r="C8" s="21" t="inlineStr">
        <is>
          <t>Sold 2026-06-12</t>
        </is>
      </c>
      <c r="D8" s="21" t="inlineStr">
        <is>
          <t>2026-06-12</t>
        </is>
      </c>
      <c r="E8" s="22" t="n">
        <v>790000</v>
      </c>
      <c r="F8" s="22" t="n"/>
      <c r="G8" s="21" t="n">
        <v>3</v>
      </c>
      <c r="H8" s="21" t="inlineStr">
        <is>
          <t>2 + office</t>
        </is>
      </c>
      <c r="I8" s="23" t="n">
        <v>2319</v>
      </c>
      <c r="J8" s="21" t="n">
        <v>2005</v>
      </c>
      <c r="K8" s="21" t="n">
        <v>0.35</v>
      </c>
      <c r="L8" s="21" t="inlineStr">
        <is>
          <t>Pond, near golf</t>
        </is>
      </c>
      <c r="M8" s="24">
        <f>IF(I8="","",E8/I8)</f>
        <v/>
      </c>
      <c r="N8" s="22">
        <f>IF(E8="","",$E$2-E8)</f>
        <v/>
      </c>
      <c r="O8" s="24">
        <f>IF(M8="","",$M$2-M8)</f>
        <v/>
      </c>
      <c r="P8" s="25">
        <f>IF(OR(E8="",E8=0),"",($E$2-E8)/E8)</f>
        <v/>
      </c>
      <c r="Q8" s="21" t="inlineStr">
        <is>
          <t>Renovated kitchen, quartzite, outdoor kitchen, heated pool. Oversized cul-de-sac lot</t>
        </is>
      </c>
      <c r="R8" s="21" t="inlineStr">
        <is>
          <t>MLS A4691647</t>
        </is>
      </c>
      <c r="S8" s="15">
        <f>IF(A8="Sold",M8,NA())</f>
        <v/>
      </c>
    </row>
    <row r="9" ht="36" customHeight="1">
      <c r="A9" s="21" t="inlineStr">
        <is>
          <t>Sold</t>
        </is>
      </c>
      <c r="B9" s="21" t="inlineStr">
        <is>
          <t>13987 Siena Loop</t>
        </is>
      </c>
      <c r="C9" s="21" t="inlineStr">
        <is>
          <t>Sold week of 2026-08-03</t>
        </is>
      </c>
      <c r="D9" s="21" t="inlineStr">
        <is>
          <t>2026-08-07</t>
        </is>
      </c>
      <c r="E9" s="22" t="n">
        <v>760000</v>
      </c>
      <c r="F9" s="22" t="n"/>
      <c r="G9" s="21" t="n">
        <v>3</v>
      </c>
      <c r="H9" s="21" t="inlineStr">
        <is>
          <t>2</t>
        </is>
      </c>
      <c r="I9" s="23" t="n">
        <v>2289</v>
      </c>
      <c r="J9" s="21" t="n">
        <v>2003</v>
      </c>
      <c r="K9" s="21" t="n"/>
      <c r="L9" s="21" t="inlineStr">
        <is>
          <t>Siena Loop</t>
        </is>
      </c>
      <c r="M9" s="24">
        <f>IF(I9="","",E9/I9)</f>
        <v/>
      </c>
      <c r="N9" s="22">
        <f>IF(E9="","",$E$2-E9)</f>
        <v/>
      </c>
      <c r="O9" s="24">
        <f>IF(M9="","",$M$2-M9)</f>
        <v/>
      </c>
      <c r="P9" s="25">
        <f>IF(OR(E9="",E9=0),"",($E$2-E9)/E9)</f>
        <v/>
      </c>
      <c r="Q9" s="21" t="inlineStr">
        <is>
          <t>Pool. Prior sale $810,000 in 2023, so this sale was a loss</t>
        </is>
      </c>
      <c r="R9" s="21" t="inlineStr">
        <is>
          <t>Your Observer, 18 Aug 2026</t>
        </is>
      </c>
      <c r="S9" s="15">
        <f>IF(A9="Sold",M9,NA())</f>
        <v/>
      </c>
    </row>
    <row r="10" ht="36" customHeight="1">
      <c r="A10" s="21" t="inlineStr">
        <is>
          <t>Sold</t>
        </is>
      </c>
      <c r="B10" s="21" t="inlineStr">
        <is>
          <t>13876 Siena Loop</t>
        </is>
      </c>
      <c r="C10" s="21" t="inlineStr">
        <is>
          <t>Sold 2026-04-30</t>
        </is>
      </c>
      <c r="D10" s="21" t="inlineStr">
        <is>
          <t>2026-04-30</t>
        </is>
      </c>
      <c r="E10" s="22" t="n">
        <v>775000</v>
      </c>
      <c r="F10" s="22" t="n">
        <v>849000</v>
      </c>
      <c r="G10" s="21" t="n">
        <v>3</v>
      </c>
      <c r="H10" s="21" t="inlineStr">
        <is>
          <t>3.5</t>
        </is>
      </c>
      <c r="I10" s="23" t="n">
        <v>2610</v>
      </c>
      <c r="J10" s="21" t="n">
        <v>2004</v>
      </c>
      <c r="K10" s="21" t="n">
        <v>0.21</v>
      </c>
      <c r="L10" s="21" t="inlineStr">
        <is>
          <t>Siena Loop</t>
        </is>
      </c>
      <c r="M10" s="24">
        <f>IF(I10="","",E10/I10)</f>
        <v/>
      </c>
      <c r="N10" s="22">
        <f>IF(E10="","",$E$2-E10)</f>
        <v/>
      </c>
      <c r="O10" s="24">
        <f>IF(M10="","",$M$2-M10)</f>
        <v/>
      </c>
      <c r="P10" s="25">
        <f>IF(OR(E10="",E10=0),"",($E$2-E10)/E10)</f>
        <v/>
      </c>
      <c r="Q10" s="21" t="inlineStr">
        <is>
          <t>Listed 20 Oct 2025 at $849,000. Closest sold size to the subject</t>
        </is>
      </c>
      <c r="R10" s="21" t="inlineStr">
        <is>
          <t>Stellar MLS via Homefinder</t>
        </is>
      </c>
      <c r="S10" s="15">
        <f>IF(A10="Sold",M10,NA())</f>
        <v/>
      </c>
    </row>
    <row r="11" ht="36" customHeight="1">
      <c r="A11" s="21" t="inlineStr">
        <is>
          <t>Sold</t>
        </is>
      </c>
      <c r="B11" s="21" t="inlineStr">
        <is>
          <t>13861 Siena Loop</t>
        </is>
      </c>
      <c r="C11" s="21" t="inlineStr">
        <is>
          <t>Sold 2026-03-19</t>
        </is>
      </c>
      <c r="D11" s="21" t="inlineStr">
        <is>
          <t>2026-03-19</t>
        </is>
      </c>
      <c r="E11" s="22" t="n">
        <v>610000</v>
      </c>
      <c r="F11" s="22" t="n">
        <v>749000</v>
      </c>
      <c r="G11" s="21" t="n">
        <v>3</v>
      </c>
      <c r="H11" s="21" t="inlineStr">
        <is>
          <t>2</t>
        </is>
      </c>
      <c r="I11" s="23" t="n">
        <v>2134</v>
      </c>
      <c r="J11" s="21" t="n">
        <v>2003</v>
      </c>
      <c r="K11" s="21" t="n">
        <v>0.25</v>
      </c>
      <c r="L11" s="21" t="inlineStr">
        <is>
          <t>Water</t>
        </is>
      </c>
      <c r="M11" s="24">
        <f>IF(I11="","",E11/I11)</f>
        <v/>
      </c>
      <c r="N11" s="22">
        <f>IF(E11="","",$E$2-E11)</f>
        <v/>
      </c>
      <c r="O11" s="24">
        <f>IF(M11="","",$M$2-M11)</f>
        <v/>
      </c>
      <c r="P11" s="25">
        <f>IF(OR(E11="",E11=0),"",($E$2-E11)/E11)</f>
        <v/>
      </c>
      <c r="Q11" s="21" t="inlineStr">
        <is>
          <t>HVAC 2023; pool pump, heater, and pebble surface 2025-26</t>
        </is>
      </c>
      <c r="R11" s="21" t="inlineStr">
        <is>
          <t>MLS A4668432</t>
        </is>
      </c>
      <c r="S11" s="15">
        <f>IF(A11="Sold",M11,NA())</f>
        <v/>
      </c>
    </row>
    <row r="12" ht="36" customHeight="1">
      <c r="A12" s="21" t="inlineStr">
        <is>
          <t>Sold</t>
        </is>
      </c>
      <c r="B12" s="21" t="inlineStr">
        <is>
          <t>13844 Siena Loop</t>
        </is>
      </c>
      <c r="C12" s="21" t="inlineStr">
        <is>
          <t>Sold 2026-01-29</t>
        </is>
      </c>
      <c r="D12" s="21" t="inlineStr">
        <is>
          <t>2026-01-29</t>
        </is>
      </c>
      <c r="E12" s="22" t="n">
        <v>619425</v>
      </c>
      <c r="F12" s="22" t="n">
        <v>699000</v>
      </c>
      <c r="G12" s="21" t="n">
        <v>2</v>
      </c>
      <c r="H12" s="21" t="inlineStr">
        <is>
          <t>2</t>
        </is>
      </c>
      <c r="I12" s="23" t="n">
        <v>2134</v>
      </c>
      <c r="J12" s="21" t="n">
        <v>2003</v>
      </c>
      <c r="K12" s="21" t="n"/>
      <c r="L12" s="21" t="inlineStr">
        <is>
          <t>Siena Loop</t>
        </is>
      </c>
      <c r="M12" s="24">
        <f>IF(I12="","",E12/I12)</f>
        <v/>
      </c>
      <c r="N12" s="22">
        <f>IF(E12="","",$E$2-E12)</f>
        <v/>
      </c>
      <c r="O12" s="24">
        <f>IF(M12="","",$M$2-M12)</f>
        <v/>
      </c>
      <c r="P12" s="25">
        <f>IF(OR(E12="",E12=0),"",($E$2-E12)/E12)</f>
        <v/>
      </c>
      <c r="Q12" s="21" t="inlineStr">
        <is>
          <t>Pool. Smaller 2-bedroom plan</t>
        </is>
      </c>
      <c r="R12" s="21" t="inlineStr">
        <is>
          <t>MLS A4671692</t>
        </is>
      </c>
      <c r="S12" s="15">
        <f>IF(A12="Sold",M12,NA())</f>
        <v/>
      </c>
    </row>
    <row r="14">
      <c r="A14" s="26" t="inlineStr">
        <is>
          <t>Sold median $/sf</t>
        </is>
      </c>
      <c r="B14" s="27">
        <f>AGGREGATE(16,6,S2:S12)</f>
        <v/>
      </c>
    </row>
    <row r="15">
      <c r="A15" t="inlineStr">
        <is>
          <t>Sold count</t>
        </is>
      </c>
      <c r="B15">
        <f>COUNTIF(A2:A12,"Sold")</f>
        <v/>
      </c>
    </row>
  </sheetData>
  <autoFilter ref="A1:R12"/>
  <dataValidations count="1">
    <dataValidation sqref="A2:A32" showDropDown="0" showInputMessage="0" showErrorMessage="0" allowBlank="0" errorTitle="Role" error="Use Subject, Active, or Sold" type="list">
      <formula1>"Subject,Active,Sold"</formula1>
    </dataValidation>
  </dataValidations>
  <pageMargins left="0.75" right="0.75" top="1" bottom="1" header="0.5" footer="0.5"/>
  <pageSetup orientation="landscape" paperSize="3" fitToHeight="1" fitToWidth="1"/>
  <headerFooter>
    <oddHeader>&amp;LSiena Loop comps — living area only</oddHeader>
    <oddFooter>&amp;RPage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C27"/>
  <sheetViews>
    <sheetView workbookViewId="0">
      <selection activeCell="A1" sqref="A1"/>
    </sheetView>
  </sheetViews>
  <sheetFormatPr baseColWidth="8" defaultRowHeight="15"/>
  <cols>
    <col width="42" customWidth="1" min="1" max="1"/>
    <col width="18" customWidth="1" min="2" max="2"/>
    <col width="88" customWidth="1" min="3" max="3"/>
  </cols>
  <sheetData>
    <row r="1">
      <c r="A1" s="28" t="inlineStr">
        <is>
          <t>Desk value</t>
        </is>
      </c>
    </row>
    <row r="2" ht="60" customHeight="1">
      <c r="A2" s="29" t="inlineStr">
        <is>
          <t>Yellow cells are inputs. No offer has been sent. Wait until the list price is under $1,000,000, then write $850,000 to $910,000. The owners rejected two other offers under $1,000,000 and are still asking $1,195,000. The roof is the original tile roof, completed 28 Feb 2006. One HVAC changeout was permitted on 30 May 2024. The agent's 2017 HVAC date and 2020 pool-heater date are not in the public permit file. It is not an appraisal and it is not a prediction of the contract price.</t>
        </is>
      </c>
    </row>
    <row r="4" ht="30" customHeight="1">
      <c r="A4" s="30" t="inlineStr">
        <is>
          <t>Ask</t>
        </is>
      </c>
      <c r="B4" s="5" t="n">
        <v>1195000</v>
      </c>
      <c r="C4" s="4" t="inlineStr">
        <is>
          <t>MLS A4704244</t>
        </is>
      </c>
    </row>
    <row r="5" ht="30" customHeight="1">
      <c r="A5" s="30" t="inlineStr">
        <is>
          <t>Living sf</t>
        </is>
      </c>
      <c r="B5" s="6" t="n">
        <v>2623</v>
      </c>
      <c r="C5" s="4" t="inlineStr">
        <is>
          <t>Public record</t>
        </is>
      </c>
    </row>
    <row r="6" ht="30" customHeight="1">
      <c r="A6" s="30" t="inlineStr">
        <is>
          <t>Ask $/sf</t>
        </is>
      </c>
      <c r="B6" s="7">
        <f>B4/B5</f>
        <v/>
      </c>
      <c r="C6" s="4" t="inlineStr">
        <is>
          <t>Formula</t>
        </is>
      </c>
    </row>
    <row r="7" ht="30" customHeight="1">
      <c r="A7" s="30" t="inlineStr">
        <is>
          <t>2026 sold median $/sf</t>
        </is>
      </c>
      <c r="B7" s="31" t="n">
        <v>314.48</v>
      </c>
      <c r="C7" s="4" t="inlineStr">
        <is>
          <t>Six Siena Loop sales, Jan–Aug 2026</t>
        </is>
      </c>
    </row>
    <row r="8" ht="30" customHeight="1">
      <c r="A8" s="30" t="inlineStr">
        <is>
          <t>13978 contract ask</t>
        </is>
      </c>
      <c r="B8" s="5" t="n">
        <v>899000</v>
      </c>
      <c r="C8" s="4" t="inlineStr">
        <is>
          <t>Same beds, 3 baths, office, golf and lake. Under contract, backups, as of 23 Oct 2026</t>
        </is>
      </c>
    </row>
    <row r="9" ht="30" customHeight="1">
      <c r="A9" s="30" t="inlineStr">
        <is>
          <t>13978 living sf</t>
        </is>
      </c>
      <c r="B9" s="6" t="n">
        <v>2673</v>
      </c>
      <c r="C9" s="4" t="inlineStr">
        <is>
          <t>MLS A4705315</t>
        </is>
      </c>
    </row>
    <row r="10" ht="30" customHeight="1">
      <c r="A10" s="30" t="inlineStr">
        <is>
          <t>13978 $/sf</t>
        </is>
      </c>
      <c r="B10" s="7">
        <f>B8/B9</f>
        <v/>
      </c>
      <c r="C10" s="4" t="inlineStr">
        <is>
          <t>Formula</t>
        </is>
      </c>
    </row>
    <row r="11" ht="30" customHeight="1">
      <c r="A11" s="30" t="inlineStr">
        <is>
          <t>Subject sized at 13978 $/sf</t>
        </is>
      </c>
      <c r="B11" s="5">
        <f>B10*B5</f>
        <v/>
      </c>
      <c r="C11" s="4" t="inlineStr">
        <is>
          <t>What this house costs if it sells at the twin's ask rate</t>
        </is>
      </c>
    </row>
    <row r="12" ht="30" customHeight="1">
      <c r="A12" s="30" t="inlineStr">
        <is>
          <t>Dollars above that twin</t>
        </is>
      </c>
      <c r="B12" s="5">
        <f>B4-B11</f>
        <v/>
      </c>
      <c r="C12" s="4" t="inlineStr">
        <is>
          <t>Ask minus the twin-sized value</t>
        </is>
      </c>
    </row>
    <row r="13" ht="30" customHeight="1">
      <c r="A13" s="30" t="inlineStr">
        <is>
          <t>Opening offer, once listed under $1,000,000</t>
        </is>
      </c>
      <c r="B13" s="32" t="n">
        <v>850000</v>
      </c>
      <c r="C13" s="4" t="inlineStr">
        <is>
          <t>No offer has been sent. This number is what to write after the list price falls under $1,000,000. It is not an offer to send at the current ask.</t>
        </is>
      </c>
    </row>
    <row r="14" ht="30" customHeight="1">
      <c r="A14" s="30" t="inlineStr">
        <is>
          <t>Supported value</t>
        </is>
      </c>
      <c r="B14" s="32" t="n">
        <v>880000</v>
      </c>
      <c r="C14" s="4" t="inlineStr">
        <is>
          <t>About the 13978 contract rate on this living area. One permitted 2024 changeout offsets part of the roof. It does not support a premium, and the unconfirmed 2017 system does not add value.</t>
        </is>
      </c>
    </row>
    <row r="15" ht="30" customHeight="1">
      <c r="A15" s="30" t="inlineStr">
        <is>
          <t>Ceiling once listed under $1,000,000</t>
        </is>
      </c>
      <c r="B15" s="32" t="n">
        <v>910000</v>
      </c>
      <c r="C15" s="4" t="inlineStr">
        <is>
          <t>Top of the offer after the list price is under $1,000,000. Still requires an affordable insurance binder, a roof report that does not require immediate replacement, and a data plate showing the second system is 2017 or newer.</t>
        </is>
      </c>
    </row>
    <row r="16" ht="30" customHeight="1">
      <c r="A16" s="30" t="inlineStr">
        <is>
          <t>Ask vs supported</t>
        </is>
      </c>
      <c r="B16" s="33">
        <f>B4/B14-1</f>
        <v/>
      </c>
      <c r="C16" s="4" t="inlineStr">
        <is>
          <t>Percent the ask sits above the supported value</t>
        </is>
      </c>
    </row>
    <row r="17" ht="30" customHeight="1">
      <c r="A17" s="30" t="inlineStr">
        <is>
          <t>Dollars above supported</t>
        </is>
      </c>
      <c r="B17" s="5">
        <f>B4-B14</f>
        <v/>
      </c>
      <c r="C17" s="4" t="inlineStr">
        <is>
          <t>Gap between the ask and the supported value</t>
        </is>
      </c>
    </row>
    <row r="18" ht="30" customHeight="1">
      <c r="A18" s="30" t="inlineStr">
        <is>
          <t>2020 purchase</t>
        </is>
      </c>
      <c r="B18" s="5" t="n">
        <v>445000</v>
      </c>
      <c r="C18" s="4" t="inlineStr">
        <is>
          <t>21 May 2020. Ask is 2.69 times that price</t>
        </is>
      </c>
    </row>
    <row r="19" ht="30" customHeight="1">
      <c r="A19" s="30" t="inlineStr">
        <is>
          <t>Ask / 2020 price</t>
        </is>
      </c>
      <c r="B19" s="33">
        <f>B4/B18</f>
        <v/>
      </c>
      <c r="C19" s="4" t="inlineStr">
        <is>
          <t>Formula</t>
        </is>
      </c>
    </row>
    <row r="20" ht="30" customHeight="1">
      <c r="A20" s="30" t="inlineStr">
        <is>
          <t>County 2025 market value</t>
        </is>
      </c>
      <c r="B20" s="5" t="n">
        <v>713184</v>
      </c>
      <c r="C20" s="4" t="inlineStr">
        <is>
          <t>Tax roll. Lags renovations. Still the assessor's number, not the ask</t>
        </is>
      </c>
    </row>
    <row r="21" ht="30" customHeight="1">
      <c r="A21" s="30" t="inlineStr">
        <is>
          <t>Ask / county market</t>
        </is>
      </c>
      <c r="B21" s="33">
        <f>B4/B20-1</f>
        <v/>
      </c>
      <c r="C21" s="4" t="inlineStr">
        <is>
          <t>Formula</t>
        </is>
      </c>
    </row>
    <row r="23">
      <c r="A23" s="34" t="inlineStr">
        <is>
          <t>Why the ask does not clear</t>
        </is>
      </c>
    </row>
    <row r="24" ht="36" customHeight="1">
      <c r="A24" s="2" t="inlineStr">
        <is>
          <t>Six 2026 sales on this loop closed from $286 to $346 per living foot, median about $314. The four active neighbors are $298 to $336 per foot. The closest product, 13978, has the same bedroom count, three baths, an office, and a golf-and-lake lot, plus a dated April 2026 air conditioner, and it found a buyer at a $899,000 ask. Sizing that rate to 2,623 feet is about $882,000. 13911 started at $1,295,000 in January 2026, has been cut to $995,000, and was still active in August with more bedrooms, more baths, and a 2024 air conditioner. This house's own 2019 campaign listed at $540,000 and sold at $445,000. The current remarks sell a remodel. The May 2019 remarks already advertised the pool, spa, outdoor kitchen, tile floors, 48-inch cabinets, granite island, and the office bath. Quartz, new cabinet claims, bath glass, a wine bar, an electric fireplace, and a softener can support a finish premium. They do not support $456 per foot. Manatee permits confirm the tile roof is original: CMP-05031188 was completed 28 Feb 2006, and no reroof permit follows it. The only later mechanical permit is BLD2405-3790, a like-for-like HVAC changeout issued 30 May 2024 for $9,524. That is one system. The agent's 2017 air conditioner and 2020 pool heater are not in the county file, so they are not credits. The original roof removes the $1,030,000 case. Supported value is $880,000. On 23 Oct 2026 the listing agent told our broker the owners have rejected two offers, both under $1,000,000. The amounts were not disclosed. The owners are holding a price above the bids buyers will write. No offer has been sent. Wait until the house is listed under $1,000,000, then write $850,000 to $910,000.</t>
        </is>
      </c>
    </row>
    <row r="25" ht="36" customHeight="1"/>
    <row r="26" ht="36" customHeight="1"/>
    <row r="27" ht="36" customHeight="1"/>
  </sheetData>
  <mergeCells count="2">
    <mergeCell ref="A24:C27"/>
    <mergeCell ref="A2:C2"/>
  </mergeCells>
  <pageMargins left="0.75" right="0.75" top="1" bottom="1" header="0.5" footer="0.5"/>
  <pageSetup orientation="landscape" paperSize="3" fitToHeight="1" fitToWidth="1"/>
  <headerFooter>
    <oddHeader>&amp;L13994 Siena Loop valuation</oddHeader>
    <oddFooter>&amp;RPage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2"/>
  <sheetViews>
    <sheetView workbookViewId="0">
      <pane ySplit="3" topLeftCell="A4" activePane="bottomLeft" state="frozen"/>
      <selection pane="bottomLeft" activeCell="A1" sqref="A1"/>
    </sheetView>
  </sheetViews>
  <sheetFormatPr baseColWidth="8" defaultRowHeight="15"/>
  <cols>
    <col width="34" customWidth="1" min="1" max="1"/>
    <col width="22" customWidth="1" min="2" max="2"/>
    <col width="26" customWidth="1" min="3" max="3"/>
    <col width="30" customWidth="1" min="4" max="4"/>
    <col width="78" customWidth="1" min="5" max="5"/>
  </cols>
  <sheetData>
    <row r="1">
      <c r="A1" s="28" t="inlineStr">
        <is>
          <t>Buyer carrying cost versus the seller's bill</t>
        </is>
      </c>
    </row>
    <row r="3">
      <c r="A3" s="35" t="inlineStr">
        <is>
          <t>Item</t>
        </is>
      </c>
      <c r="B3" s="35" t="inlineStr">
        <is>
          <t>Seller today</t>
        </is>
      </c>
      <c r="C3" s="35" t="inlineStr">
        <is>
          <t>Buyer at ask, year 1</t>
        </is>
      </c>
      <c r="D3" s="35" t="inlineStr">
        <is>
          <t>Buyer at mid value, year 1</t>
        </is>
      </c>
      <c r="E3" s="35" t="inlineStr">
        <is>
          <t>Notes</t>
        </is>
      </c>
    </row>
    <row r="4" ht="36" customHeight="1">
      <c r="A4" s="30" t="inlineStr">
        <is>
          <t>Price used</t>
        </is>
      </c>
      <c r="B4" s="5" t="n">
        <v>0</v>
      </c>
      <c r="C4" s="5">
        <f>Valuation!B4</f>
        <v/>
      </c>
      <c r="D4" s="5">
        <f>Valuation!B14</f>
        <v/>
      </c>
      <c r="E4" s="4" t="inlineStr">
        <is>
          <t>Seller price cell is blank on purpose. The seller already owns the house.</t>
        </is>
      </c>
    </row>
    <row r="5" ht="36" customHeight="1">
      <c r="A5" s="30" t="inlineStr">
        <is>
          <t>Ad valorem, no homestead</t>
        </is>
      </c>
      <c r="B5" s="7" t="n">
        <v>9244.01</v>
      </c>
      <c r="C5" s="7">
        <f>C4*14.16/1000</f>
        <v/>
      </c>
      <c r="D5" s="7">
        <f>D4*14.16/1000</f>
        <v/>
      </c>
      <c r="E5" s="4" t="inlineStr">
        <is>
          <t>Year-of-purchase estimate if the buyer does not have homestead on 1 Jan. Seller figure is the actual 2025 ad valorem, after homestead and Save Our Homes.</t>
        </is>
      </c>
    </row>
    <row r="6" ht="36" customHeight="1">
      <c r="A6" s="30" t="inlineStr">
        <is>
          <t>Non-ad valorem</t>
        </is>
      </c>
      <c r="B6" s="7" t="n">
        <v>3768.59</v>
      </c>
      <c r="C6" s="7" t="n">
        <v>3768.59</v>
      </c>
      <c r="D6" s="7" t="n">
        <v>3768.59</v>
      </c>
      <c r="E6" s="4" t="inlineStr">
        <is>
          <t>2025 bill. CDD operations can move. Proposed FY2026/27 Siena CDD total is $3,781.92 versus $3,496.53 billed.</t>
        </is>
      </c>
    </row>
    <row r="7" ht="32" customHeight="1">
      <c r="A7" s="30" t="inlineStr">
        <is>
          <t>Tax bill</t>
        </is>
      </c>
      <c r="B7" s="36">
        <f>B5+B6</f>
        <v/>
      </c>
      <c r="C7" s="36">
        <f>C5+C6</f>
        <v/>
      </c>
      <c r="D7" s="36">
        <f>D5+D6</f>
        <v/>
      </c>
      <c r="E7" s="4" t="inlineStr">
        <is>
          <t>Seller combined bill was $13,012.60. Early-pay discount made the December draft $12,492.10.</t>
        </is>
      </c>
    </row>
    <row r="8" ht="36" customHeight="1">
      <c r="A8" s="30" t="inlineStr">
        <is>
          <t>Homestead tax, year 2</t>
        </is>
      </c>
      <c r="B8" s="7" t="n">
        <v>13012.6</v>
      </c>
      <c r="C8" s="7">
        <f>MAX(C4-25000,0)*6.304/1000+MAX(C4-50000,0)*7.856/1000+C6</f>
        <v/>
      </c>
      <c r="D8" s="7">
        <f>MAX(D4-25000,0)*6.304/1000+MAX(D4-50000,0)*7.856/1000+D6</f>
        <v/>
      </c>
      <c r="E8" s="4" t="inlineStr">
        <is>
          <t>Assumes a new homestead and no portability. A buyer who ports a Florida homestead cap pays less. School mills 6.304. Other mills 7.856.</t>
        </is>
      </c>
    </row>
    <row r="9" ht="36" customHeight="1">
      <c r="A9" s="30" t="inlineStr">
        <is>
          <t>Town Hall fee</t>
        </is>
      </c>
      <c r="B9" s="7" t="n">
        <v>135</v>
      </c>
      <c r="C9" s="7" t="n">
        <v>135</v>
      </c>
      <c r="D9" s="7" t="n">
        <v>135</v>
      </c>
      <c r="E9" s="4" t="inlineStr">
        <is>
          <t>The only association dollar in this MLS. Annual.</t>
        </is>
      </c>
    </row>
    <row r="10" ht="36" customHeight="1">
      <c r="A10" s="30" t="inlineStr">
        <is>
          <t>Siena maintenance, planning</t>
        </is>
      </c>
      <c r="B10" s="7" t="n">
        <v>2232</v>
      </c>
      <c r="C10" s="7">
        <f>B10</f>
        <v/>
      </c>
      <c r="D10" s="7">
        <f>B10</f>
        <v/>
      </c>
      <c r="E10" s="4" t="inlineStr">
        <is>
          <t>Not on this listing. 13828 disclosed $186 per month and 13804 disclosed $188. 13853 disclosed $175. Confirm on the estoppel.</t>
        </is>
      </c>
    </row>
    <row r="11" ht="36" customHeight="1">
      <c r="A11" s="30" t="inlineStr">
        <is>
          <t>Insurance</t>
        </is>
      </c>
      <c r="B11" s="4" t="inlineStr">
        <is>
          <t>Unknown</t>
        </is>
      </c>
      <c r="C11" s="4" t="inlineStr">
        <is>
          <t>Quote before offer</t>
        </is>
      </c>
      <c r="D11" s="4" t="inlineStr">
        <is>
          <t>Quote before offer</t>
        </is>
      </c>
      <c r="E11" s="4" t="inlineStr">
        <is>
          <t>A 2006 tile roof with unknown underlayment is the variable. Get a binder quote, not a rule-of-thumb.</t>
        </is>
      </c>
    </row>
    <row r="12" ht="36" customHeight="1">
      <c r="A12" s="30" t="inlineStr">
        <is>
          <t>Club membership</t>
        </is>
      </c>
      <c r="B12" s="4" t="inlineStr">
        <is>
          <t>Optional</t>
        </is>
      </c>
      <c r="C12" s="4" t="inlineStr">
        <is>
          <t>Optional</t>
        </is>
      </c>
      <c r="D12" s="4" t="inlineStr">
        <is>
          <t>Optional</t>
        </is>
      </c>
      <c r="E12" s="4" t="inlineStr">
        <is>
          <t>2026 packet: Premier golf $110,000 initiation and $1,360 per month; Sports $15,000 and $430; Social $6,000 and $185. Not required to buy the house. Does not transfer with the deed.</t>
        </is>
      </c>
    </row>
  </sheetData>
  <pageMargins left="0.75" right="0.75" top="1" bottom="1" header="0.5" footer="0.5"/>
  <pageSetup orientation="landscape" paperSize="3" fitToHeight="1" fitToWidth="1"/>
  <headerFooter>
    <oddHeader>&amp;LCarrying costs</oddHeader>
    <oddFooter>&amp;RPage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0"/>
  <sheetViews>
    <sheetView workbookViewId="0">
      <pane ySplit="1" topLeftCell="A2" activePane="bottomLeft" state="frozen"/>
      <selection pane="bottomLeft" activeCell="A1" sqref="A1"/>
    </sheetView>
  </sheetViews>
  <sheetFormatPr baseColWidth="8" defaultRowHeight="15"/>
  <cols>
    <col width="28" customWidth="1" min="1" max="1"/>
    <col width="55" customWidth="1" min="2" max="2"/>
    <col width="55" customWidth="1" min="3" max="3"/>
    <col width="62" customWidth="1" min="4" max="4"/>
  </cols>
  <sheetData>
    <row r="1">
      <c r="A1" s="35" t="inlineStr">
        <is>
          <t>Item</t>
        </is>
      </c>
      <c r="B1" s="35" t="inlineStr">
        <is>
          <t>What the 2026 listing says</t>
        </is>
      </c>
      <c r="C1" s="35" t="inlineStr">
        <is>
          <t>What the 2019 listing already said</t>
        </is>
      </c>
      <c r="D1" s="35" t="inlineStr">
        <is>
          <t>Treat as</t>
        </is>
      </c>
    </row>
    <row r="2" ht="32" customHeight="1">
      <c r="A2" s="4" t="inlineStr">
        <is>
          <t>Kitchen counters</t>
        </is>
      </c>
      <c r="B2" s="4" t="inlineStr">
        <is>
          <t>Quartz, large island</t>
        </is>
      </c>
      <c r="C2" s="4" t="inlineStr">
        <is>
          <t>Granite island</t>
        </is>
      </c>
      <c r="D2" s="4" t="inlineStr">
        <is>
          <t>Likely replaced since 2019. Real, limited dollars.</t>
        </is>
      </c>
    </row>
    <row r="3" ht="32" customHeight="1">
      <c r="A3" s="4" t="inlineStr">
        <is>
          <t>Cabinets</t>
        </is>
      </c>
      <c r="B3" s="4" t="inlineStr">
        <is>
          <t>New cabinetry and pantry</t>
        </is>
      </c>
      <c r="C3" s="4" t="inlineStr">
        <is>
          <t>48-inch cabinets and a walk-in pantry</t>
        </is>
      </c>
      <c r="D3" s="4" t="inlineStr">
        <is>
          <t>Verify they are new. The 2019 copy already sold tall cabinets.</t>
        </is>
      </c>
    </row>
    <row r="4" ht="32" customHeight="1">
      <c r="A4" s="4" t="inlineStr">
        <is>
          <t>Primary bath</t>
        </is>
      </c>
      <c r="B4" s="4" t="inlineStr">
        <is>
          <t>Frameless glass, double vanity, garden tub, private water closet</t>
        </is>
      </c>
      <c r="C4" s="4" t="inlineStr">
        <is>
          <t>Separate vanities, garden tub, spa shower</t>
        </is>
      </c>
      <c r="D4" s="4" t="inlineStr">
        <is>
          <t>Finish upgrade more than a new room.</t>
        </is>
      </c>
    </row>
    <row r="5" ht="32" customHeight="1">
      <c r="A5" s="4" t="inlineStr">
        <is>
          <t>Guest baths</t>
        </is>
      </c>
      <c r="B5" s="4" t="inlineStr">
        <is>
          <t>Both remodeled</t>
        </is>
      </c>
      <c r="C5" s="4" t="inlineStr">
        <is>
          <t>Three baths already, including the office bath</t>
        </is>
      </c>
      <c r="D5" s="4" t="inlineStr">
        <is>
          <t>Cosmetic unless permits show a rebuild.</t>
        </is>
      </c>
    </row>
    <row r="6" ht="32" customHeight="1">
      <c r="A6" s="4" t="inlineStr">
        <is>
          <t>Office bath</t>
        </is>
      </c>
      <c r="B6" s="4" t="inlineStr">
        <is>
          <t>Den bath doubles as the pool bath</t>
        </is>
      </c>
      <c r="C6" s="4" t="inlineStr">
        <is>
          <t>Office with its own private bathroom</t>
        </is>
      </c>
      <c r="D6" s="4" t="inlineStr">
        <is>
          <t>Same room, not an added bath.</t>
        </is>
      </c>
    </row>
    <row r="7" ht="32" customHeight="1">
      <c r="A7" s="4" t="inlineStr">
        <is>
          <t>Floors</t>
        </is>
      </c>
      <c r="B7" s="4" t="inlineStr">
        <is>
          <t>Tile</t>
        </is>
      </c>
      <c r="C7" s="4" t="inlineStr">
        <is>
          <t>18-inch tile in the main living area</t>
        </is>
      </c>
      <c r="D7" s="4" t="inlineStr">
        <is>
          <t>Already there in 2019.</t>
        </is>
      </c>
    </row>
    <row r="8" ht="32" customHeight="1">
      <c r="A8" s="4" t="inlineStr">
        <is>
          <t>Pool, spa, cage</t>
        </is>
      </c>
      <c r="B8" s="4" t="inlineStr">
        <is>
          <t>Heated pool and spa, screen enclosure</t>
        </is>
      </c>
      <c r="C8" s="4" t="inlineStr">
        <is>
          <t>Private pool, spa, and enclosed lanai</t>
        </is>
      </c>
      <c r="D8" s="4" t="inlineStr">
        <is>
          <t>Original. Pool completed 25 May 2006. Cage completed 7 Mar 2006. No later permit.</t>
        </is>
      </c>
    </row>
    <row r="9" ht="32" customHeight="1">
      <c r="A9" s="4" t="inlineStr">
        <is>
          <t>Outdoor kitchen</t>
        </is>
      </c>
      <c r="B9" s="4" t="inlineStr">
        <is>
          <t>Grill and outdoor kitchen</t>
        </is>
      </c>
      <c r="C9" s="4" t="inlineStr">
        <is>
          <t>Outdoor kitchen</t>
        </is>
      </c>
      <c r="D9" s="4" t="inlineStr">
        <is>
          <t>Already there in 2019.</t>
        </is>
      </c>
    </row>
    <row r="10" ht="32" customHeight="1">
      <c r="A10" s="4" t="inlineStr">
        <is>
          <t>Wine bar and fireplace</t>
        </is>
      </c>
      <c r="B10" s="4" t="inlineStr">
        <is>
          <t>Wine bar, electric fireplace</t>
        </is>
      </c>
      <c r="C10" s="4" t="inlineStr">
        <is>
          <t>Not in the 2019 remarks</t>
        </is>
      </c>
      <c r="D10" s="4" t="inlineStr">
        <is>
          <t>Cosmetic. An electric fireplace is not a gas fireplace.</t>
        </is>
      </c>
    </row>
    <row r="11" ht="32" customHeight="1">
      <c r="A11" s="4" t="inlineStr">
        <is>
          <t>Lighting and windows treatments</t>
        </is>
      </c>
      <c r="B11" s="4" t="inlineStr">
        <is>
          <t>Designer lighting and window treatments</t>
        </is>
      </c>
      <c r="C11" s="4" t="inlineStr">
        <is>
          <t>Not singled out in 2019</t>
        </is>
      </c>
      <c r="D11" s="4" t="inlineStr">
        <is>
          <t>Cosmetic. Not impact glass.</t>
        </is>
      </c>
    </row>
    <row r="12" ht="32" customHeight="1">
      <c r="A12" s="4" t="inlineStr">
        <is>
          <t>Water softener</t>
        </is>
      </c>
      <c r="B12" s="4" t="inlineStr">
        <is>
          <t>Whole-house softener listed as an appliance</t>
        </is>
      </c>
      <c r="C12" s="4" t="inlineStr">
        <is>
          <t>Not in the 2019 remarks</t>
        </is>
      </c>
      <c r="D12" s="4" t="inlineStr">
        <is>
          <t>Useful. Small dollars.</t>
        </is>
      </c>
    </row>
    <row r="13" ht="32" customHeight="1">
      <c r="A13" s="4" t="inlineStr">
        <is>
          <t>Closet</t>
        </is>
      </c>
      <c r="B13" s="4" t="inlineStr">
        <is>
          <t>Oversized custom organized closet</t>
        </is>
      </c>
      <c r="C13" s="4" t="inlineStr">
        <is>
          <t>Two walk-in closets</t>
        </is>
      </c>
      <c r="D13" s="4" t="inlineStr">
        <is>
          <t>Organization system, not added area.</t>
        </is>
      </c>
    </row>
    <row r="14" ht="32" customHeight="1">
      <c r="A14" s="4" t="inlineStr">
        <is>
          <t>Accent walls</t>
        </is>
      </c>
      <c r="B14" s="4" t="inlineStr">
        <is>
          <t>Distinctive accent walls</t>
        </is>
      </c>
      <c r="C14" s="4" t="inlineStr">
        <is>
          <t>Not in the 2019 remarks</t>
        </is>
      </c>
      <c r="D14" s="4" t="inlineStr">
        <is>
          <t>Paint and millwork.</t>
        </is>
      </c>
    </row>
    <row r="15" ht="32" customHeight="1">
      <c r="A15" s="4" t="inlineStr">
        <is>
          <t>Roof</t>
        </is>
      </c>
      <c r="B15" s="4" t="inlineStr">
        <is>
          <t>Agent: 20 years old</t>
        </is>
      </c>
      <c r="C15" s="4" t="inlineStr">
        <is>
          <t>Not described as new in 2019</t>
        </is>
      </c>
      <c r="D15" s="4" t="inlineStr">
        <is>
          <t>Confirmed original. CMP-05031188 completed 28 Feb 2006. No reroof permit. Still get the certification.</t>
        </is>
      </c>
    </row>
    <row r="16" ht="32" customHeight="1">
      <c r="A16" s="4" t="inlineStr">
        <is>
          <t>Air conditioners</t>
        </is>
      </c>
      <c r="B16" s="4" t="inlineStr">
        <is>
          <t>Agent: one system 2024, second system 2017</t>
        </is>
      </c>
      <c r="C16" s="4" t="inlineStr">
        <is>
          <t>Not dated in 2019</t>
        </is>
      </c>
      <c r="D16" s="4" t="inlineStr">
        <is>
          <t>One permit only: BLD2405-3790, issued 30 May 2024, like for like, $9,524. No 2017 permit. Require the second data plate.</t>
        </is>
      </c>
    </row>
    <row r="17" ht="32" customHeight="1">
      <c r="A17" s="4" t="inlineStr">
        <is>
          <t>Pool heater</t>
        </is>
      </c>
      <c r="B17" s="4" t="inlineStr">
        <is>
          <t>Agent: 2020</t>
        </is>
      </c>
      <c r="C17" s="4" t="inlineStr">
        <is>
          <t>Pool and spa already existed</t>
        </is>
      </c>
      <c r="D17" s="4" t="inlineStr">
        <is>
          <t>No heater permit in the live county layer. Do not pay for a 2020 heater without the invoice or data plate.</t>
        </is>
      </c>
    </row>
    <row r="18" ht="32" customHeight="1">
      <c r="A18" s="4" t="inlineStr">
        <is>
          <t>Water heater</t>
        </is>
      </c>
      <c r="B18" s="4" t="inlineStr">
        <is>
          <t>Still not dated</t>
        </is>
      </c>
      <c r="C18" s="4" t="inlineStr">
        <is>
          <t>Not mentioned</t>
        </is>
      </c>
      <c r="D18" s="4" t="inlineStr">
        <is>
          <t>No water-heater permit in the files searched. Planning range is $1,500–$3,000 if it is original.</t>
        </is>
      </c>
    </row>
    <row r="19" ht="32" customHeight="1">
      <c r="A19" s="4" t="inlineStr">
        <is>
          <t>Windows</t>
        </is>
      </c>
      <c r="B19" s="4" t="inlineStr">
        <is>
          <t>Blinds and treatments only</t>
        </is>
      </c>
      <c r="C19" s="4" t="inlineStr">
        <is>
          <t>Not described as impact</t>
        </is>
      </c>
      <c r="D19" s="4" t="inlineStr">
        <is>
          <t>No wind-mitigation credit is being claimed. Verify.</t>
        </is>
      </c>
    </row>
    <row r="20" ht="32" customHeight="1">
      <c r="A20" s="4" t="inlineStr">
        <is>
          <t>Public record renovation year</t>
        </is>
      </c>
      <c r="B20" s="4" t="inlineStr">
        <is>
          <t>Remarks say fully remodeled, no date</t>
        </is>
      </c>
      <c r="C20" s="4" t="inlineStr">
        <is>
          <t>Redfin shows a 2012 renovation year</t>
        </is>
      </c>
      <c r="D20" s="4" t="inlineStr">
        <is>
          <t>No kitchen, bath, or alteration permit was found for this parcel. Do not treat 2012 as proven.</t>
        </is>
      </c>
    </row>
  </sheetData>
  <autoFilter ref="A1:D20"/>
  <pageMargins left="0.75" right="0.75" top="1" bottom="1" header="0.5" footer="0.5"/>
  <pageSetup orientation="landscape" paperSize="3" fitToHeight="1" fitToWidth="1"/>
  <headerFooter>
    <oddHeader>&amp;LUpgrades versus the 2019 listing</oddHeader>
    <oddFoot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1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0" customWidth="1" min="3" max="3"/>
    <col width="70" customWidth="1" min="4" max="4"/>
  </cols>
  <sheetData>
    <row r="1">
      <c r="A1" s="35" t="inlineStr">
        <is>
          <t>Risk</t>
        </is>
      </c>
      <c r="B1" s="35" t="inlineStr">
        <is>
          <t>Severity</t>
        </is>
      </c>
      <c r="C1" s="35" t="inlineStr">
        <is>
          <t>What is known</t>
        </is>
      </c>
      <c r="D1" s="35" t="inlineStr">
        <is>
          <t>What to require</t>
        </is>
      </c>
    </row>
    <row r="2" ht="48" customHeight="1">
      <c r="A2" s="4" t="inlineStr">
        <is>
          <t>Price</t>
        </is>
      </c>
      <c r="B2" s="37" t="inlineStr">
        <is>
          <t>High</t>
        </is>
      </c>
      <c r="C2" s="4" t="inlineStr">
        <is>
          <t>Ask is $456/sf against a 2026 sold median near $314/sf and a same-view neighbor under contract at $336/sf. The owners rejected two offers under $1,000,000. Amounts were not disclosed.</t>
        </is>
      </c>
      <c r="D2" s="4" t="inlineStr">
        <is>
          <t>No offer has been sent. Wait until the list price is under $1,000,000, then write $850,000 to $910,000. Supported value is $880,000.</t>
        </is>
      </c>
    </row>
    <row r="3" ht="48" customHeight="1">
      <c r="A3" s="4" t="inlineStr">
        <is>
          <t>Resale</t>
        </is>
      </c>
      <c r="B3" s="37" t="inlineStr">
        <is>
          <t>High</t>
        </is>
      </c>
      <c r="C3" s="4" t="inlineStr">
        <is>
          <t>13911 has been cut 23% from $1,295,000 and was still for sale at $995,000 with more house. 13987 sold in 2026 for less than its 2023 price.</t>
        </is>
      </c>
      <c r="D3" s="4" t="inlineStr">
        <is>
          <t>Underwrite an exit near the 2026 sold band, not near this ask.</t>
        </is>
      </c>
    </row>
    <row r="4" ht="48" customHeight="1">
      <c r="A4" s="4" t="inlineStr">
        <is>
          <t>Roof and insurance</t>
        </is>
      </c>
      <c r="B4" s="37" t="inlineStr">
        <is>
          <t>High</t>
        </is>
      </c>
      <c r="C4" s="4" t="inlineStr">
        <is>
          <t>Permit CMP-05031188 completed 28 Feb 2006 with a tile roof. No reroof permit follows it. 13828, which sold at $346/sf, led with a brand-new roof.</t>
        </is>
      </c>
      <c r="D4" s="4" t="inlineStr">
        <is>
          <t>Roof certification, 4-point, wind mitigation, and an insurance binder before the inspection period ends. Planning range to replace a tile roof of this size is $40,000–$80,000. That is not a bid.</t>
        </is>
      </c>
    </row>
    <row r="5" ht="48" customHeight="1">
      <c r="A5" s="4" t="inlineStr">
        <is>
          <t>Second HVAC and water heater</t>
        </is>
      </c>
      <c r="B5" s="37" t="inlineStr">
        <is>
          <t>High</t>
        </is>
      </c>
      <c r="C5" s="4" t="inlineStr">
        <is>
          <t>The only HVAC permit is BLD2405-3790, one like-for-like changeout issued 30 May 2024 for $9,524. No 2017 permit was found. No water-heater permit was found.</t>
        </is>
      </c>
      <c r="D5" s="4" t="inlineStr">
        <is>
          <t>Read both data plates. If the second system is original, budget a replacement. Water heater planning range is $1,500–$3,000 if it is original. Accela lists no completed inspections on the 2024 permit; GIS shows a certificate date of 22 May 2026.</t>
        </is>
      </c>
    </row>
    <row r="6" ht="48" customHeight="1">
      <c r="A6" s="4" t="inlineStr">
        <is>
          <t>Tax reset</t>
        </is>
      </c>
      <c r="B6" s="37" t="inlineStr">
        <is>
          <t>High</t>
        </is>
      </c>
      <c r="C6" s="4" t="inlineStr">
        <is>
          <t>Sellers have homestead. Assessed value is $692,095 and the bill is $13,013. A buyer does not inherit Save Our Homes.</t>
        </is>
      </c>
      <c r="D6" s="4" t="inlineStr">
        <is>
          <t>Use the Carrying costs sheet. At the ask, year-1 taxes are about $20,700 before any homestead.</t>
        </is>
      </c>
    </row>
    <row r="7" ht="48" customHeight="1">
      <c r="A7" s="4" t="inlineStr">
        <is>
          <t>Remodel story</t>
        </is>
      </c>
      <c r="B7" s="38" t="inlineStr">
        <is>
          <t>Medium</t>
        </is>
      </c>
      <c r="C7" s="4" t="inlineStr">
        <is>
          <t>2019 remarks already included the pool, spa, outdoor kitchen, tile, tall cabinets, granite, and office bath. The county files checked have no kitchen, bath, or alteration permit. Redfin's 2012 field is not a permit.</t>
        </is>
      </c>
      <c r="D7" s="4" t="inlineStr">
        <is>
          <t>Do not pay a remodel premium the permit file does not support. Ask the seller for invoices. Unpermitted work is a loan and insurance problem.</t>
        </is>
      </c>
    </row>
    <row r="8" ht="48" customHeight="1">
      <c r="A8" s="4" t="inlineStr">
        <is>
          <t>HOA disclosure</t>
        </is>
      </c>
      <c r="B8" s="38" t="inlineStr">
        <is>
          <t>Medium</t>
        </is>
      </c>
      <c r="C8" s="4" t="inlineStr">
        <is>
          <t>MLS fee is $135 per year to Lakewood Ranch Town Hall. Siena is a 68-home maintenance-free village. Neighbors show about $175–$188 per month.</t>
        </is>
      </c>
      <c r="D8" s="4" t="inlineStr">
        <is>
          <t>Estoppel for both associations, what maintenance includes, and any special assessment.</t>
        </is>
      </c>
    </row>
    <row r="9" ht="48" customHeight="1">
      <c r="A9" s="4" t="inlineStr">
        <is>
          <t>Pool and cage</t>
        </is>
      </c>
      <c r="B9" s="38" t="inlineStr">
        <is>
          <t>Medium</t>
        </is>
      </c>
      <c r="C9" s="4" t="inlineStr">
        <is>
          <t>Pool completed 25 May 2006. Mansard cage completed 7 Mar 2006. No later pool, heater, or cage permit. The agent's 2020 heater date is not in the county file.</t>
        </is>
      </c>
      <c r="D9" s="4" t="inlineStr">
        <is>
          <t>Pool inspection. Do not credit a 2020 heater without the data plate or invoice. Resurface and rescreen are separate jobs when they are due.</t>
        </is>
      </c>
    </row>
    <row r="10" ht="48" customHeight="1">
      <c r="A10" s="4" t="inlineStr">
        <is>
          <t>Three bedrooms</t>
        </is>
      </c>
      <c r="B10" s="38" t="inlineStr">
        <is>
          <t>Medium</t>
        </is>
      </c>
      <c r="C10" s="4" t="inlineStr">
        <is>
          <t>Office is a den with a pool bath, not a fourth bedroom. 13911 offers four bedrooms and 3.5 baths for $200,000 less ask.</t>
        </is>
      </c>
      <c r="D10" s="4" t="inlineStr">
        <is>
          <t>Price the bedroom count. The buyer pool at $1.2 million usually wants four bedrooms.</t>
        </is>
      </c>
    </row>
    <row r="11" ht="48" customHeight="1">
      <c r="A11" s="4" t="inlineStr">
        <is>
          <t>Golf lot</t>
        </is>
      </c>
      <c r="B11" s="38" t="inlineStr">
        <is>
          <t>Medium</t>
        </is>
      </c>
      <c r="C11" s="4" t="inlineStr">
        <is>
          <t>View is real and 13978 shows what buyers will pay for the same view. MLS waterfront flag is No. Balls, mowers, and chemicals come with the lot.</t>
        </is>
      </c>
      <c r="D11" s="4" t="inlineStr">
        <is>
          <t>Walk the lot on a play day. Do not pay a view premium 13978 did not get.</t>
        </is>
      </c>
    </row>
    <row r="12" ht="48" customHeight="1">
      <c r="A12" s="4" t="inlineStr">
        <is>
          <t>CDD</t>
        </is>
      </c>
      <c r="B12" s="39" t="inlineStr">
        <is>
          <t>Low</t>
        </is>
      </c>
      <c r="C12" s="4" t="inlineStr">
        <is>
          <t>Debt service is only $331 per year, so the bond is small. Operations are about $3,166 and the proposed FY2027 Siena total is $3,782.</t>
        </is>
      </c>
      <c r="D12" s="4" t="inlineStr">
        <is>
          <t>Read the CDD budget. The fee does not end when the small debt is gone.</t>
        </is>
      </c>
    </row>
    <row r="13" ht="48" customHeight="1">
      <c r="A13" s="4" t="inlineStr">
        <is>
          <t>Flood</t>
        </is>
      </c>
      <c r="B13" s="39" t="inlineStr">
        <is>
          <t>Low</t>
        </is>
      </c>
      <c r="C13" s="4" t="inlineStr">
        <is>
          <t>Listing detail says flood zone X. Lake is a view, not owned frontage. Reclaimed water irrigates the community.</t>
        </is>
      </c>
      <c r="D13" s="4" t="inlineStr">
        <is>
          <t>Still pull the FEMA map and ask about yard drainage after summer rain.</t>
        </is>
      </c>
    </row>
    <row r="14" ht="48" customHeight="1">
      <c r="A14" s="4" t="inlineStr">
        <is>
          <t>2006 construction screen</t>
        </is>
      </c>
      <c r="B14" s="39" t="inlineStr">
        <is>
          <t>Low</t>
        </is>
      </c>
      <c r="C14" s="4" t="inlineStr">
        <is>
          <t>No public record reviewed here ties this address to Chinese drywall. The build year sits in the 2001–2009 problem window.</t>
        </is>
      </c>
      <c r="D14" s="4" t="inlineStr">
        <is>
          <t>Look for blackened copper, a sulfur smell, and failed AC coils. Ordinary stucco and window-flashing leaks belong on the same inspection.</t>
        </is>
      </c>
    </row>
    <row r="15" ht="48" customHeight="1">
      <c r="A15" s="4" t="inlineStr">
        <is>
          <t>Club dues</t>
        </is>
      </c>
      <c r="B15" s="39" t="inlineStr">
        <is>
          <t>Low</t>
        </is>
      </c>
      <c r="C15" s="4" t="inlineStr">
        <is>
          <t>Membership is optional and Heritage Golf Group has owned the club since early 2024.</t>
        </is>
      </c>
      <c r="D15" s="4" t="inlineStr">
        <is>
          <t>If a membership matters, price it separately. Premier initiation in the 2026 packet is $110,000 plus $1,360 a month.</t>
        </is>
      </c>
    </row>
  </sheetData>
  <autoFilter ref="A1:D15"/>
  <dataValidations count="1">
    <dataValidation sqref="B2:B25" showDropDown="0" showInputMessage="0" showErrorMessage="0" allowBlank="0" type="list">
      <formula1>"High,Medium,Low"</formula1>
    </dataValidation>
  </dataValidations>
  <pageMargins left="0.75" right="0.75" top="1" bottom="1" header="0.5" footer="0.5"/>
  <pageSetup orientation="landscape" paperSize="3" fitToHeight="1" fitToWidth="1"/>
  <headerFooter>
    <oddHeader>&amp;LRisks and hidden issues</oddHeader>
    <oddFoot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11"/>
  <sheetViews>
    <sheetView workbookViewId="0">
      <pane ySplit="4" topLeftCell="A5" activePane="bottomLeft" state="frozen"/>
      <selection pane="bottomLeft" activeCell="A1" sqref="A1"/>
    </sheetView>
  </sheetViews>
  <sheetFormatPr baseColWidth="8" defaultRowHeight="15"/>
  <cols>
    <col width="28" customWidth="1" min="1" max="1"/>
    <col width="18" customWidth="1" min="2" max="2"/>
    <col width="22" customWidth="1" min="3" max="3"/>
    <col width="28" customWidth="1" min="4" max="4"/>
    <col width="14" customWidth="1" min="5" max="5"/>
    <col width="72" customWidth="1" min="6" max="6"/>
    <col width="62" customWidth="1" min="7" max="7"/>
  </cols>
  <sheetData>
    <row r="1" ht="22" customHeight="1">
      <c r="A1" s="28" t="inlineStr">
        <is>
          <t>Manatee County public permits for 13994 Siena Loop</t>
        </is>
      </c>
    </row>
    <row r="2" ht="36" customHeight="1">
      <c r="A2" s="2" t="inlineStr">
        <is>
          <t>Checked 23 Oct 2026. Archive CSVs published by Manatee Development Services cover 2004 through 21 Feb 2018. The live GIS PermitData layer, queried by parcel 588502359 and by house 13994 SIENA, returned one building permit, BLD2405-3790, plus a pointer to the historical archive. A missing permit means it was not in those public files. It does not prove the equipment was never replaced.</t>
        </is>
      </c>
    </row>
    <row r="4">
      <c r="A4" s="35" t="inlineStr">
        <is>
          <t>Work</t>
        </is>
      </c>
      <c r="B4" s="35" t="inlineStr">
        <is>
          <t>Permit</t>
        </is>
      </c>
      <c r="C4" s="35" t="inlineStr">
        <is>
          <t>Issued</t>
        </is>
      </c>
      <c r="D4" s="35" t="inlineStr">
        <is>
          <t>Completed</t>
        </is>
      </c>
      <c r="E4" s="35" t="inlineStr">
        <is>
          <t>Status</t>
        </is>
      </c>
      <c r="F4" s="35" t="inlineStr">
        <is>
          <t>What the county file shows</t>
        </is>
      </c>
      <c r="G4" s="35" t="inlineStr">
        <is>
          <t>Against the agent's date</t>
        </is>
      </c>
    </row>
    <row r="5" ht="48" customHeight="1">
      <c r="A5" s="4" t="inlineStr">
        <is>
          <t>New house and tile roof</t>
        </is>
      </c>
      <c r="B5" s="4" t="inlineStr">
        <is>
          <t>CMP-05031188</t>
        </is>
      </c>
      <c r="C5" s="4" t="inlineStr">
        <is>
          <t>28 Mar 2005</t>
        </is>
      </c>
      <c r="D5" s="4" t="inlineStr">
        <is>
          <t>28 Feb 2006</t>
        </is>
      </c>
      <c r="E5" s="39" t="inlineStr">
        <is>
          <t>Closed</t>
        </is>
      </c>
      <c r="F5" s="4" t="inlineStr">
        <is>
          <t>Original 3-bed, 3-bath, one-story concrete-block house with a tile roof and gas. Neal Communities of Southwest Florida. Declared cost $130,000. Lot 47.</t>
        </is>
      </c>
      <c r="G5" s="4" t="inlineStr">
        <is>
          <t>Matches the agent's 20-year roof. No reroof permit appears after this one.</t>
        </is>
      </c>
    </row>
    <row r="6" ht="48" customHeight="1">
      <c r="A6" s="4" t="inlineStr">
        <is>
          <t>Pool and spa</t>
        </is>
      </c>
      <c r="B6" s="4" t="inlineStr">
        <is>
          <t>CMP-05070213</t>
        </is>
      </c>
      <c r="C6" s="4" t="inlineStr">
        <is>
          <t>4 Aug 2005</t>
        </is>
      </c>
      <c r="D6" s="4" t="inlineStr">
        <is>
          <t>25 May 2006</t>
        </is>
      </c>
      <c r="E6" s="39" t="inlineStr">
        <is>
          <t>Closed</t>
        </is>
      </c>
      <c r="F6" s="4" t="inlineStr">
        <is>
          <t>In-ground pool, spa, and deck. Splash Pools. Declared cost $28,100. Built with the house.</t>
        </is>
      </c>
      <c r="G6" s="4" t="inlineStr">
        <is>
          <t>The pool is original. This permit does not date a heater.</t>
        </is>
      </c>
    </row>
    <row r="7" ht="48" customHeight="1">
      <c r="A7" s="4" t="inlineStr">
        <is>
          <t>Screen cage</t>
        </is>
      </c>
      <c r="B7" s="4" t="inlineStr">
        <is>
          <t>CMP-06011072</t>
        </is>
      </c>
      <c r="C7" s="4" t="inlineStr">
        <is>
          <t>23 Feb 2006</t>
        </is>
      </c>
      <c r="D7" s="4" t="inlineStr">
        <is>
          <t>7 Mar 2006</t>
        </is>
      </c>
      <c r="E7" s="39" t="inlineStr">
        <is>
          <t>Closed</t>
        </is>
      </c>
      <c r="F7" s="4" t="inlineStr">
        <is>
          <t>Mansard pool cage on the existing deck. Absolute Aluminum. Declared cost $6,667.</t>
        </is>
      </c>
      <c r="G7" s="4" t="inlineStr">
        <is>
          <t>The cage is original. No later cage or rescreen permit was found.</t>
        </is>
      </c>
    </row>
    <row r="8" ht="48" customHeight="1">
      <c r="A8" s="4" t="inlineStr">
        <is>
          <t>Air conditioner</t>
        </is>
      </c>
      <c r="B8" s="4" t="inlineStr">
        <is>
          <t>BLD2405-3790</t>
        </is>
      </c>
      <c r="C8" s="4" t="inlineStr">
        <is>
          <t>30 May 2024</t>
        </is>
      </c>
      <c r="D8" s="4" t="inlineStr">
        <is>
          <t>GIS certificate 22 May 2026</t>
        </is>
      </c>
      <c r="E8" s="39" t="inlineStr">
        <is>
          <t>Closed</t>
        </is>
      </c>
      <c r="F8" s="4" t="inlineStr">
        <is>
          <t>One like-for-like HVAC changeout. Arctic Air Services, Scott Whitaker. Job value $9,524. No duct replacement. Mechanical only. Accela lists no completed inspections.</t>
        </is>
      </c>
      <c r="G8" s="4" t="inlineStr">
        <is>
          <t>Confirms one 2024 system, not two. The agent's 2017 system has no permit in the files searched.</t>
        </is>
      </c>
    </row>
    <row r="9" ht="48" customHeight="1">
      <c r="A9" s="4" t="inlineStr">
        <is>
          <t>Second air conditioner, 2017</t>
        </is>
      </c>
      <c r="B9" s="4" t="inlineStr">
        <is>
          <t>None found</t>
        </is>
      </c>
      <c r="C9" s="4" t="inlineStr"/>
      <c r="D9" s="4" t="inlineStr"/>
      <c r="E9" s="38" t="inlineStr">
        <is>
          <t>Not in file</t>
        </is>
      </c>
      <c r="F9" s="4" t="inlineStr">
        <is>
          <t>No 2017 mechanical permit for this parcel in the 2013–2018 archive or in the live GIS layer.</t>
        </is>
      </c>
      <c r="G9" s="4" t="inlineStr">
        <is>
          <t>The 2017 date is the agent's statement only. The second system may still be the 2006 equipment.</t>
        </is>
      </c>
    </row>
    <row r="10" ht="48" customHeight="1">
      <c r="A10" s="4" t="inlineStr">
        <is>
          <t>Pool heater, 2020</t>
        </is>
      </c>
      <c r="B10" s="4" t="inlineStr">
        <is>
          <t>None found</t>
        </is>
      </c>
      <c r="C10" s="4" t="inlineStr"/>
      <c r="D10" s="4" t="inlineStr"/>
      <c r="E10" s="38" t="inlineStr">
        <is>
          <t>Not in file</t>
        </is>
      </c>
      <c r="F10" s="4" t="inlineStr">
        <is>
          <t>A 2020 heater permit would be in the live Accela-era layer. That layer has no heater permit for this house.</t>
        </is>
      </c>
      <c r="G10" s="4" t="inlineStr">
        <is>
          <t>The 2020 heater date is the agent's statement only.</t>
        </is>
      </c>
    </row>
    <row r="11" ht="48" customHeight="1">
      <c r="A11" s="4" t="inlineStr">
        <is>
          <t>Kitchen, baths, water heater</t>
        </is>
      </c>
      <c r="B11" s="4" t="inlineStr">
        <is>
          <t>None found</t>
        </is>
      </c>
      <c r="C11" s="4" t="inlineStr"/>
      <c r="D11" s="4" t="inlineStr"/>
      <c r="E11" s="38" t="inlineStr">
        <is>
          <t>Not in file</t>
        </is>
      </c>
      <c r="F11" s="4" t="inlineStr">
        <is>
          <t>No alteration, plumbing, or water-heater permit for this parcel in the files searched. Redfin's 2012 renovation year is not a permit.</t>
        </is>
      </c>
      <c r="G11" s="4" t="inlineStr">
        <is>
          <t>Finish claims are not backed by a county building permit.</t>
        </is>
      </c>
    </row>
  </sheetData>
  <autoFilter ref="A4:G11"/>
  <mergeCells count="1">
    <mergeCell ref="A2:G2"/>
  </mergeCells>
  <pageMargins left="0.75" right="0.75" top="1" bottom="1" header="0.5" footer="0.5"/>
  <pageSetup orientation="landscape" paperSize="3" fitToHeight="1" fitToWidth="1"/>
  <headerFooter>
    <oddHeader>&amp;LCounty permits, parcel 588502359</oddHeader>
    <oddFooter>&amp;RPage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22"/>
  <sheetViews>
    <sheetView workbookViewId="0">
      <pane ySplit="1" topLeftCell="A2" activePane="bottomLeft" state="frozen"/>
      <selection pane="bottomLeft" activeCell="A1" sqref="A1"/>
    </sheetView>
  </sheetViews>
  <sheetFormatPr baseColWidth="8" defaultRowHeight="15"/>
  <cols>
    <col width="70" customWidth="1" min="1" max="1"/>
    <col width="78" customWidth="1" min="2" max="2"/>
    <col width="36" customWidth="1" min="3" max="3"/>
  </cols>
  <sheetData>
    <row r="1">
      <c r="A1" s="9" t="inlineStr">
        <is>
          <t>Fact</t>
        </is>
      </c>
      <c r="B1" s="9" t="inlineStr">
        <is>
          <t>Source</t>
        </is>
      </c>
      <c r="C1" s="9" t="inlineStr">
        <is>
          <t>Date used</t>
        </is>
      </c>
    </row>
    <row r="2" ht="32" customHeight="1">
      <c r="A2" s="4" t="inlineStr">
        <is>
          <t>Ask, living area, tile roof, parcel, $135 Town Hall fee, $3,497 other assessment, flood zone X</t>
        </is>
      </c>
      <c r="B2" s="4" t="inlineStr">
        <is>
          <t>MLS A4704244 via Coldwell Banker, Berkshire Hathaway, and Zachos</t>
        </is>
      </c>
      <c r="C2" s="4" t="inlineStr">
        <is>
          <t>23 Oct 2026</t>
        </is>
      </c>
    </row>
    <row r="3" ht="32" customHeight="1">
      <c r="A3" s="4" t="inlineStr">
        <is>
          <t>49 days online and listing text</t>
        </is>
      </c>
      <c r="B3" s="4" t="inlineStr">
        <is>
          <t>Zachos Realty listing snapshot</t>
        </is>
      </c>
      <c r="C3" s="4" t="inlineStr">
        <is>
          <t>Updated 23 Oct 2026</t>
        </is>
      </c>
    </row>
    <row r="4" ht="32" customHeight="1">
      <c r="A4" s="4" t="inlineStr">
        <is>
          <t>2020 sale $445,000 and 2019 price cuts and remarks</t>
        </is>
      </c>
      <c r="B4" s="4" t="inlineStr">
        <is>
          <t>Redfin sale history, prior MLS A4436936; Coldwell Banker price history</t>
        </is>
      </c>
      <c r="C4" s="4" t="inlineStr">
        <is>
          <t>Pages read 23 Oct 2026</t>
        </is>
      </c>
    </row>
    <row r="5" ht="32" customHeight="1">
      <c r="A5" s="4" t="inlineStr">
        <is>
          <t>2025 tax bill, homestead, CDD split, owners, market and assessed value</t>
        </is>
      </c>
      <c r="B5" s="4" t="inlineStr">
        <is>
          <t>Manatee County tax bill, parcel 588502359</t>
        </is>
      </c>
      <c r="C5" s="4" t="inlineStr">
        <is>
          <t>2025 bill, payment posted 1 Dec 2025</t>
        </is>
      </c>
    </row>
    <row r="6" ht="32" customHeight="1">
      <c r="A6" s="4" t="inlineStr">
        <is>
          <t>13978 under contract at $899,000, AC dated April 2026</t>
        </is>
      </c>
      <c r="B6" s="4" t="inlineStr">
        <is>
          <t>SeaGlass and realestate.com.au reprint of MLS A4705315</t>
        </is>
      </c>
      <c r="C6" s="4" t="inlineStr">
        <is>
          <t>Updated 23 Oct 2026</t>
        </is>
      </c>
    </row>
    <row r="7" ht="32" customHeight="1">
      <c r="A7" s="4" t="inlineStr">
        <is>
          <t>13853, 13860, 13911 asks and reductions</t>
        </is>
      </c>
      <c r="B7" s="4" t="inlineStr">
        <is>
          <t>William Raveis and Berkshire Hathaway listing pages</t>
        </is>
      </c>
      <c r="C7" s="4" t="inlineStr">
        <is>
          <t>23 Oct 2026</t>
        </is>
      </c>
    </row>
    <row r="8" ht="32" customHeight="1">
      <c r="A8" s="4" t="inlineStr">
        <is>
          <t>13828 sold $799,000 on 2,311 sf with a new roof</t>
        </is>
      </c>
      <c r="B8" s="4" t="inlineStr">
        <is>
          <t>Coldwell Banker and Florida Real Estate Central, MLS A4687316</t>
        </is>
      </c>
      <c r="C8" s="4" t="inlineStr">
        <is>
          <t>Sold 1 Jun 2026</t>
        </is>
      </c>
    </row>
    <row r="9" ht="32" customHeight="1">
      <c r="A9" s="4" t="inlineStr">
        <is>
          <t>13804 sold $790,000 on 2,319 sf</t>
        </is>
      </c>
      <c r="B9" s="4" t="inlineStr">
        <is>
          <t>Palm Paradise Realty, MLS A4691647</t>
        </is>
      </c>
      <c r="C9" s="4" t="inlineStr">
        <is>
          <t>Sold 12 Jun 2026</t>
        </is>
      </c>
    </row>
    <row r="10" ht="32" customHeight="1">
      <c r="A10" s="4" t="inlineStr">
        <is>
          <t>13876 sold $775,000 on 2,610 sf</t>
        </is>
      </c>
      <c r="B10" s="4" t="inlineStr">
        <is>
          <t>Homefinder / Stellar MLS</t>
        </is>
      </c>
      <c r="C10" s="4" t="inlineStr">
        <is>
          <t>Sold 30 Apr 2026</t>
        </is>
      </c>
    </row>
    <row r="11" ht="32" customHeight="1">
      <c r="A11" s="4" t="inlineStr">
        <is>
          <t>13861 sold $610,000 and 13844 sold $619,425</t>
        </is>
      </c>
      <c r="B11" s="4" t="inlineStr">
        <is>
          <t>BEX Realty MLS reprints</t>
        </is>
      </c>
      <c r="C11" s="4" t="inlineStr">
        <is>
          <t>19 Mar 2026 and 29 Jan 2026</t>
        </is>
      </c>
    </row>
    <row r="12" ht="32" customHeight="1">
      <c r="A12" s="4" t="inlineStr">
        <is>
          <t>13987 sold $760,000, prior sale $810,000 in 2023</t>
        </is>
      </c>
      <c r="B12" s="4" t="inlineStr">
        <is>
          <t>Your Observer, Lakewood Ranch sales for 3–7 Aug 2026</t>
        </is>
      </c>
      <c r="C12" s="4" t="inlineStr">
        <is>
          <t>Published 18 Aug 2026</t>
        </is>
      </c>
    </row>
    <row r="13" ht="32" customHeight="1">
      <c r="A13" s="4" t="inlineStr">
        <is>
          <t>Proposed FY2026/27 Siena CDD $3,781.92</t>
        </is>
      </c>
      <c r="B13" s="4" t="inlineStr">
        <is>
          <t>Lakewood Ranch CDD 5 budget-hearing notice, transcribed by Move With Momentum</t>
        </is>
      </c>
      <c r="C13" s="4" t="inlineStr">
        <is>
          <t>Hearing 17 Aug 2026, proposed</t>
        </is>
      </c>
    </row>
    <row r="14" ht="32" customHeight="1">
      <c r="A14" s="4" t="inlineStr">
        <is>
          <t>Club initiation and dues</t>
        </is>
      </c>
      <c r="B14" s="4" t="inlineStr">
        <is>
          <t>Lakewood Ranch Golf &amp; Country Club 2026 membership packet</t>
        </is>
      </c>
      <c r="C14" s="4" t="inlineStr">
        <is>
          <t>2026 packet</t>
        </is>
      </c>
    </row>
    <row r="15" ht="32" customHeight="1">
      <c r="A15" s="4" t="inlineStr">
        <is>
          <t>Renovation year 2012 field</t>
        </is>
      </c>
      <c r="B15" s="4" t="inlineStr">
        <is>
          <t>Redfin public-record pane</t>
        </is>
      </c>
      <c r="C15" s="4" t="inlineStr">
        <is>
          <t>Not matched to a permit</t>
        </is>
      </c>
    </row>
    <row r="16" ht="32" customHeight="1">
      <c r="A16" s="4" t="inlineStr">
        <is>
          <t>New house and tile roof, completed 28 Feb 2006</t>
        </is>
      </c>
      <c r="B16" s="4" t="inlineStr">
        <is>
          <t>Manatee historical permit CMP-05031188, parcel 588502359</t>
        </is>
      </c>
      <c r="C16" s="4" t="inlineStr">
        <is>
          <t>Archive file 2004–2005, checked 23 Oct 2026</t>
        </is>
      </c>
    </row>
    <row r="17" ht="32" customHeight="1">
      <c r="A17" s="4" t="inlineStr">
        <is>
          <t>Pool and spa, completed 25 May 2006</t>
        </is>
      </c>
      <c r="B17" s="4" t="inlineStr">
        <is>
          <t>Manatee historical permit CMP-05070213</t>
        </is>
      </c>
      <c r="C17" s="4" t="inlineStr">
        <is>
          <t>Archive file 2004–2005, checked 23 Oct 2026</t>
        </is>
      </c>
    </row>
    <row r="18" ht="32" customHeight="1">
      <c r="A18" s="4" t="inlineStr">
        <is>
          <t>Mansard screen cage, completed 7 Mar 2006</t>
        </is>
      </c>
      <c r="B18" s="4" t="inlineStr">
        <is>
          <t>Manatee historical permit CMP-06011072</t>
        </is>
      </c>
      <c r="C18" s="4" t="inlineStr">
        <is>
          <t>Archive file 2006, checked 23 Oct 2026</t>
        </is>
      </c>
    </row>
    <row r="19" ht="32" customHeight="1">
      <c r="A19" s="4" t="inlineStr">
        <is>
          <t>One HVAC changeout, issued 30 May 2024, GIS certificate 22 May 2026</t>
        </is>
      </c>
      <c r="B19" s="4" t="inlineStr">
        <is>
          <t>Manatee GIS PermitData and Accela BLD2405-3790</t>
        </is>
      </c>
      <c r="C19" s="4" t="inlineStr">
        <is>
          <t>Live layer and Accela page, 23 Oct 2026</t>
        </is>
      </c>
    </row>
    <row r="20" ht="32" customHeight="1">
      <c r="A20" s="4" t="inlineStr">
        <is>
          <t>No 2017 HVAC permit, no 2020 heater permit, no remodel permit</t>
        </is>
      </c>
      <c r="B20" s="4" t="inlineStr">
        <is>
          <t>Same archive CSVs through 21 Feb 2018, plus the live GIS layer for this parcel and house</t>
        </is>
      </c>
      <c r="C20" s="4" t="inlineStr">
        <is>
          <t>Checked 23 Oct 2026</t>
        </is>
      </c>
    </row>
    <row r="21" ht="32" customHeight="1">
      <c r="A21" s="4" t="inlineStr">
        <is>
          <t>Two offers under $1,000,000, both rejected</t>
        </is>
      </c>
      <c r="B21" s="4" t="inlineStr">
        <is>
          <t>Listing agent, told to our broker. Dollar amounts were not disclosed</t>
        </is>
      </c>
      <c r="C21" s="4" t="inlineStr">
        <is>
          <t>23 Oct 2026</t>
        </is>
      </c>
    </row>
    <row r="22" ht="32" customHeight="1">
      <c r="A22" s="4" t="inlineStr">
        <is>
          <t>Sale history for all 68 Siena Loop houses</t>
        </is>
      </c>
      <c r="B22" s="4" t="inlineStr">
        <is>
          <t>Manatee County Property Appraiser sales history for each parcel</t>
        </is>
      </c>
      <c r="C22" s="4" t="inlineStr">
        <is>
          <t>Read 23 Oct 2026</t>
        </is>
      </c>
    </row>
  </sheetData>
  <autoFilter ref="A1:C22"/>
  <pageMargins left="0.75" right="0.75" top="1" bottom="1" header="0.5" footer="0.5"/>
  <pageSetup orientation="landscape" paperSize="3" fitToHeight="1" fitToWidth="1"/>
  <headerFooter>
    <oddHeader/>
    <oddFoot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176"/>
  <sheetViews>
    <sheetView workbookViewId="0">
      <pane ySplit="4" topLeftCell="A5" activePane="bottomLeft" state="frozen"/>
      <selection pane="bottomLeft" activeCell="A1" sqref="A1"/>
    </sheetView>
  </sheetViews>
  <sheetFormatPr baseColWidth="8" defaultRowHeight="15"/>
  <cols>
    <col width="12" customWidth="1" min="1" max="1"/>
    <col width="8" customWidth="1" min="2" max="2"/>
    <col width="10" customWidth="1" min="3" max="3"/>
    <col width="14" customWidth="1" min="4" max="4"/>
    <col width="14" customWidth="1" min="5" max="5"/>
    <col width="14" customWidth="1" min="6" max="6"/>
    <col width="22" customWidth="1" min="7" max="7"/>
    <col width="42" customWidth="1" min="8" max="8"/>
    <col width="14" customWidth="1" min="9" max="9"/>
    <col width="28" customWidth="1" min="10" max="10"/>
  </cols>
  <sheetData>
    <row r="1">
      <c r="A1" s="28" t="inlineStr">
        <is>
          <t>Siena Loop sale history, 68 houses</t>
        </is>
      </c>
    </row>
    <row r="2" ht="48" customHeight="1">
      <c r="A2" s="2" t="inlineStr">
        <is>
          <t>14 houses are still with the original buyer. Developer deeds to Neal Communities and deeds under $1,000 are omitted. Lot means the deed was for the vacant lot and the house was built afterward, so that dollar figure is not the finished-home price. Qualified No means the appraiser recorded the price and did not call it a normal market sale. 13844 sold on the MLS on 29 Jan 2026 for $619,425. That deed is not on this list yet. Read from the Manatee County Property Appraiser on 23 Oct 2026.</t>
        </is>
      </c>
    </row>
    <row r="4">
      <c r="A4" s="35" t="inlineStr">
        <is>
          <t>House</t>
        </is>
      </c>
      <c r="B4" s="35" t="inlineStr">
        <is>
          <t>Lot</t>
        </is>
      </c>
      <c r="C4" s="35" t="inlineStr">
        <is>
          <t>Built</t>
        </is>
      </c>
      <c r="D4" s="35" t="inlineStr">
        <is>
          <t>Sale date</t>
        </is>
      </c>
      <c r="E4" s="35" t="inlineStr">
        <is>
          <t>Price</t>
        </is>
      </c>
      <c r="F4" s="35" t="inlineStr">
        <is>
          <t>Deed shows</t>
        </is>
      </c>
      <c r="G4" s="35" t="inlineStr">
        <is>
          <t>Qualified market sale</t>
        </is>
      </c>
      <c r="H4" s="35" t="inlineStr">
        <is>
          <t>Grantee</t>
        </is>
      </c>
      <c r="I4" s="35" t="inlineStr">
        <is>
          <t>Sale number</t>
        </is>
      </c>
      <c r="J4" s="35" t="inlineStr">
        <is>
          <t>Original buyer still owns it</t>
        </is>
      </c>
    </row>
    <row r="5">
      <c r="A5" s="4" t="n">
        <v>13804</v>
      </c>
      <c r="B5" s="4" t="n">
        <v>1</v>
      </c>
      <c r="C5" s="4" t="n">
        <v>2005</v>
      </c>
      <c r="D5" s="4" t="inlineStr">
        <is>
          <t>2005-09-28</t>
        </is>
      </c>
      <c r="E5" s="5" t="n">
        <v>714100</v>
      </c>
      <c r="F5" s="4" t="inlineStr">
        <is>
          <t>House</t>
        </is>
      </c>
      <c r="G5" s="4" t="inlineStr">
        <is>
          <t>Yes</t>
        </is>
      </c>
      <c r="H5" s="4" t="inlineStr">
        <is>
          <t>BLUMBERG, PAUL</t>
        </is>
      </c>
      <c r="I5" s="4" t="inlineStr">
        <is>
          <t>1 of 5</t>
        </is>
      </c>
      <c r="J5" s="4" t="inlineStr">
        <is>
          <t>No</t>
        </is>
      </c>
    </row>
    <row r="6">
      <c r="A6" s="4" t="n">
        <v>13804</v>
      </c>
      <c r="B6" s="4" t="n">
        <v>1</v>
      </c>
      <c r="C6" s="4" t="n">
        <v>2005</v>
      </c>
      <c r="D6" s="4" t="inlineStr">
        <is>
          <t>2008-08-28</t>
        </is>
      </c>
      <c r="E6" s="5" t="n">
        <v>425000</v>
      </c>
      <c r="F6" s="4" t="inlineStr">
        <is>
          <t>House</t>
        </is>
      </c>
      <c r="G6" s="4" t="inlineStr">
        <is>
          <t>Yes</t>
        </is>
      </c>
      <c r="H6" s="4" t="inlineStr">
        <is>
          <t>HASHMI, SAJJAD A</t>
        </is>
      </c>
      <c r="I6" s="4" t="inlineStr">
        <is>
          <t>2 of 5</t>
        </is>
      </c>
      <c r="J6" s="4" t="inlineStr">
        <is>
          <t>No</t>
        </is>
      </c>
    </row>
    <row r="7">
      <c r="A7" s="4" t="n">
        <v>13804</v>
      </c>
      <c r="B7" s="4" t="n">
        <v>1</v>
      </c>
      <c r="C7" s="4" t="n">
        <v>2005</v>
      </c>
      <c r="D7" s="4" t="inlineStr">
        <is>
          <t>2017-05-11</t>
        </is>
      </c>
      <c r="E7" s="5" t="n">
        <v>450000</v>
      </c>
      <c r="F7" s="4" t="inlineStr">
        <is>
          <t>House</t>
        </is>
      </c>
      <c r="G7" s="4" t="inlineStr">
        <is>
          <t>Yes</t>
        </is>
      </c>
      <c r="H7" s="4" t="inlineStr">
        <is>
          <t>DALVANO, ROBERT</t>
        </is>
      </c>
      <c r="I7" s="4" t="inlineStr">
        <is>
          <t>3 of 5</t>
        </is>
      </c>
      <c r="J7" s="4" t="inlineStr">
        <is>
          <t>No</t>
        </is>
      </c>
    </row>
    <row r="8">
      <c r="A8" s="4" t="n">
        <v>13804</v>
      </c>
      <c r="B8" s="4" t="n">
        <v>1</v>
      </c>
      <c r="C8" s="4" t="n">
        <v>2005</v>
      </c>
      <c r="D8" s="4" t="inlineStr">
        <is>
          <t>2020-05-15</t>
        </is>
      </c>
      <c r="E8" s="5" t="n">
        <v>404000</v>
      </c>
      <c r="F8" s="4" t="inlineStr">
        <is>
          <t>House</t>
        </is>
      </c>
      <c r="G8" s="4" t="inlineStr">
        <is>
          <t>Yes</t>
        </is>
      </c>
      <c r="H8" s="4" t="inlineStr">
        <is>
          <t>KACHELE, HARALD R</t>
        </is>
      </c>
      <c r="I8" s="4" t="inlineStr">
        <is>
          <t>4 of 5</t>
        </is>
      </c>
      <c r="J8" s="4" t="inlineStr">
        <is>
          <t>No</t>
        </is>
      </c>
    </row>
    <row r="9">
      <c r="A9" s="4" t="n">
        <v>13804</v>
      </c>
      <c r="B9" s="4" t="n">
        <v>1</v>
      </c>
      <c r="C9" s="4" t="n">
        <v>2005</v>
      </c>
      <c r="D9" s="4" t="inlineStr">
        <is>
          <t>2026-06-11</t>
        </is>
      </c>
      <c r="E9" s="5" t="n">
        <v>790000</v>
      </c>
      <c r="F9" s="4" t="inlineStr">
        <is>
          <t>House</t>
        </is>
      </c>
      <c r="G9" s="4" t="inlineStr">
        <is>
          <t>Yes</t>
        </is>
      </c>
      <c r="H9" s="4" t="inlineStr">
        <is>
          <t>GEORGE, STEVEN T</t>
        </is>
      </c>
      <c r="I9" s="4" t="inlineStr">
        <is>
          <t>5 of 5</t>
        </is>
      </c>
      <c r="J9" s="4" t="inlineStr">
        <is>
          <t>No</t>
        </is>
      </c>
    </row>
    <row r="10">
      <c r="A10" s="4" t="n">
        <v>13808</v>
      </c>
      <c r="B10" s="4" t="n">
        <v>2</v>
      </c>
      <c r="C10" s="4" t="n">
        <v>2006</v>
      </c>
      <c r="D10" s="4" t="inlineStr">
        <is>
          <t>2006-03-02</t>
        </is>
      </c>
      <c r="E10" s="5" t="n">
        <v>643400</v>
      </c>
      <c r="F10" s="4" t="inlineStr">
        <is>
          <t>House</t>
        </is>
      </c>
      <c r="G10" s="4" t="inlineStr">
        <is>
          <t>Yes</t>
        </is>
      </c>
      <c r="H10" s="4" t="inlineStr">
        <is>
          <t>VALENTINO, MICHAEL</t>
        </is>
      </c>
      <c r="I10" s="4" t="inlineStr">
        <is>
          <t>1 of 2</t>
        </is>
      </c>
      <c r="J10" s="4" t="inlineStr">
        <is>
          <t>No</t>
        </is>
      </c>
    </row>
    <row r="11">
      <c r="A11" s="4" t="n">
        <v>13808</v>
      </c>
      <c r="B11" s="4" t="n">
        <v>2</v>
      </c>
      <c r="C11" s="4" t="n">
        <v>2006</v>
      </c>
      <c r="D11" s="4" t="inlineStr">
        <is>
          <t>2009-09-30</t>
        </is>
      </c>
      <c r="E11" s="5" t="n">
        <v>300000</v>
      </c>
      <c r="F11" s="4" t="inlineStr">
        <is>
          <t>House</t>
        </is>
      </c>
      <c r="G11" s="4" t="inlineStr">
        <is>
          <t>Yes</t>
        </is>
      </c>
      <c r="H11" s="4" t="inlineStr">
        <is>
          <t>SARNA, SUNIL</t>
        </is>
      </c>
      <c r="I11" s="4" t="inlineStr">
        <is>
          <t>2 of 2</t>
        </is>
      </c>
      <c r="J11" s="4" t="inlineStr">
        <is>
          <t>No</t>
        </is>
      </c>
    </row>
    <row r="12">
      <c r="A12" s="4" t="n">
        <v>13812</v>
      </c>
      <c r="B12" s="4" t="n">
        <v>3</v>
      </c>
      <c r="C12" s="4" t="n">
        <v>2005</v>
      </c>
      <c r="D12" s="4" t="inlineStr">
        <is>
          <t>2005-08-08</t>
        </is>
      </c>
      <c r="E12" s="5" t="n">
        <v>509500</v>
      </c>
      <c r="F12" s="4" t="inlineStr">
        <is>
          <t>House</t>
        </is>
      </c>
      <c r="G12" s="4" t="inlineStr">
        <is>
          <t>Yes</t>
        </is>
      </c>
      <c r="H12" s="4" t="inlineStr">
        <is>
          <t>SUTTMILLER, THOMAS E</t>
        </is>
      </c>
      <c r="I12" s="4" t="inlineStr">
        <is>
          <t>1 of 2</t>
        </is>
      </c>
      <c r="J12" s="4" t="inlineStr">
        <is>
          <t>No</t>
        </is>
      </c>
    </row>
    <row r="13">
      <c r="A13" s="4" t="n">
        <v>13812</v>
      </c>
      <c r="B13" s="4" t="n">
        <v>3</v>
      </c>
      <c r="C13" s="4" t="n">
        <v>2005</v>
      </c>
      <c r="D13" s="4" t="inlineStr">
        <is>
          <t>2006-12-14</t>
        </is>
      </c>
      <c r="E13" s="5" t="n">
        <v>540000</v>
      </c>
      <c r="F13" s="4" t="inlineStr">
        <is>
          <t>House</t>
        </is>
      </c>
      <c r="G13" s="4" t="inlineStr">
        <is>
          <t>Yes</t>
        </is>
      </c>
      <c r="H13" s="4" t="inlineStr">
        <is>
          <t>JONES, NORMAN LEON</t>
        </is>
      </c>
      <c r="I13" s="4" t="inlineStr">
        <is>
          <t>2 of 2</t>
        </is>
      </c>
      <c r="J13" s="4" t="inlineStr">
        <is>
          <t>No</t>
        </is>
      </c>
    </row>
    <row r="14">
      <c r="A14" s="4" t="n">
        <v>13816</v>
      </c>
      <c r="B14" s="4" t="n">
        <v>4</v>
      </c>
      <c r="C14" s="4" t="n">
        <v>2004</v>
      </c>
      <c r="D14" s="4" t="inlineStr">
        <is>
          <t>2003-06-17</t>
        </is>
      </c>
      <c r="E14" s="5" t="n">
        <v>96000</v>
      </c>
      <c r="F14" s="4" t="inlineStr">
        <is>
          <t>Lot</t>
        </is>
      </c>
      <c r="G14" s="4" t="inlineStr">
        <is>
          <t>Yes</t>
        </is>
      </c>
      <c r="H14" s="4" t="inlineStr">
        <is>
          <t>HOWARD, WAYNE D</t>
        </is>
      </c>
      <c r="I14" s="4" t="inlineStr">
        <is>
          <t>1 of 2</t>
        </is>
      </c>
      <c r="J14" s="4" t="inlineStr">
        <is>
          <t>No</t>
        </is>
      </c>
    </row>
    <row r="15">
      <c r="A15" s="4" t="n">
        <v>13816</v>
      </c>
      <c r="B15" s="4" t="n">
        <v>4</v>
      </c>
      <c r="C15" s="4" t="n">
        <v>2004</v>
      </c>
      <c r="D15" s="4" t="inlineStr">
        <is>
          <t>2015-07-16</t>
        </is>
      </c>
      <c r="E15" s="5" t="n">
        <v>494000</v>
      </c>
      <c r="F15" s="4" t="inlineStr">
        <is>
          <t>House</t>
        </is>
      </c>
      <c r="G15" s="4" t="inlineStr">
        <is>
          <t>Yes</t>
        </is>
      </c>
      <c r="H15" s="4" t="inlineStr">
        <is>
          <t>FABER, ANDREW J</t>
        </is>
      </c>
      <c r="I15" s="4" t="inlineStr">
        <is>
          <t>2 of 2</t>
        </is>
      </c>
      <c r="J15" s="4" t="inlineStr">
        <is>
          <t>No</t>
        </is>
      </c>
    </row>
    <row r="16">
      <c r="A16" s="4" t="n">
        <v>13820</v>
      </c>
      <c r="B16" s="4" t="n">
        <v>5</v>
      </c>
      <c r="C16" s="4" t="n">
        <v>2003</v>
      </c>
      <c r="D16" s="4" t="inlineStr">
        <is>
          <t>2003-05-28</t>
        </is>
      </c>
      <c r="E16" s="5" t="n">
        <v>96000</v>
      </c>
      <c r="F16" s="4" t="inlineStr">
        <is>
          <t>Lot</t>
        </is>
      </c>
      <c r="G16" s="4" t="inlineStr">
        <is>
          <t>Yes</t>
        </is>
      </c>
      <c r="H16" s="4" t="inlineStr">
        <is>
          <t>1ST NATIONAL BANK &amp; TRUST AS CUSTODIAN</t>
        </is>
      </c>
      <c r="I16" s="4" t="inlineStr">
        <is>
          <t>1 of 6</t>
        </is>
      </c>
      <c r="J16" s="4" t="inlineStr">
        <is>
          <t>No</t>
        </is>
      </c>
    </row>
    <row r="17">
      <c r="A17" s="4" t="n">
        <v>13820</v>
      </c>
      <c r="B17" s="4" t="n">
        <v>5</v>
      </c>
      <c r="C17" s="4" t="n">
        <v>2003</v>
      </c>
      <c r="D17" s="4" t="inlineStr">
        <is>
          <t>2005-11-18</t>
        </is>
      </c>
      <c r="E17" s="5" t="n">
        <v>500000</v>
      </c>
      <c r="F17" s="4" t="inlineStr">
        <is>
          <t>House</t>
        </is>
      </c>
      <c r="G17" s="38" t="inlineStr">
        <is>
          <t>No</t>
        </is>
      </c>
      <c r="H17" s="4" t="inlineStr">
        <is>
          <t>RAS, ZUDORA</t>
        </is>
      </c>
      <c r="I17" s="4" t="inlineStr">
        <is>
          <t>2 of 6</t>
        </is>
      </c>
      <c r="J17" s="4" t="inlineStr">
        <is>
          <t>No</t>
        </is>
      </c>
    </row>
    <row r="18">
      <c r="A18" s="4" t="n">
        <v>13820</v>
      </c>
      <c r="B18" s="4" t="n">
        <v>5</v>
      </c>
      <c r="C18" s="4" t="n">
        <v>2003</v>
      </c>
      <c r="D18" s="4" t="inlineStr">
        <is>
          <t>2006-02-28</t>
        </is>
      </c>
      <c r="E18" s="5" t="n">
        <v>515000</v>
      </c>
      <c r="F18" s="4" t="inlineStr">
        <is>
          <t>House</t>
        </is>
      </c>
      <c r="G18" s="38" t="inlineStr">
        <is>
          <t>No</t>
        </is>
      </c>
      <c r="H18" s="4" t="inlineStr">
        <is>
          <t>RAS, ZUDORA</t>
        </is>
      </c>
      <c r="I18" s="4" t="inlineStr">
        <is>
          <t>3 of 6</t>
        </is>
      </c>
      <c r="J18" s="4" t="inlineStr">
        <is>
          <t>No</t>
        </is>
      </c>
    </row>
    <row r="19">
      <c r="A19" s="4" t="n">
        <v>13820</v>
      </c>
      <c r="B19" s="4" t="n">
        <v>5</v>
      </c>
      <c r="C19" s="4" t="n">
        <v>2003</v>
      </c>
      <c r="D19" s="4" t="inlineStr">
        <is>
          <t>2015-08-13</t>
        </is>
      </c>
      <c r="E19" s="5" t="n">
        <v>458000</v>
      </c>
      <c r="F19" s="4" t="inlineStr">
        <is>
          <t>House</t>
        </is>
      </c>
      <c r="G19" s="4" t="inlineStr">
        <is>
          <t>Yes</t>
        </is>
      </c>
      <c r="H19" s="4" t="inlineStr">
        <is>
          <t>TODD, JANICE F</t>
        </is>
      </c>
      <c r="I19" s="4" t="inlineStr">
        <is>
          <t>4 of 6</t>
        </is>
      </c>
      <c r="J19" s="4" t="inlineStr">
        <is>
          <t>No</t>
        </is>
      </c>
    </row>
    <row r="20">
      <c r="A20" s="4" t="n">
        <v>13820</v>
      </c>
      <c r="B20" s="4" t="n">
        <v>5</v>
      </c>
      <c r="C20" s="4" t="n">
        <v>2003</v>
      </c>
      <c r="D20" s="4" t="inlineStr">
        <is>
          <t>2021-11-30</t>
        </is>
      </c>
      <c r="E20" s="5" t="n">
        <v>640000</v>
      </c>
      <c r="F20" s="4" t="inlineStr">
        <is>
          <t>House</t>
        </is>
      </c>
      <c r="G20" s="4" t="inlineStr">
        <is>
          <t>Yes</t>
        </is>
      </c>
      <c r="H20" s="4" t="inlineStr">
        <is>
          <t>ROULUND, TAMERA</t>
        </is>
      </c>
      <c r="I20" s="4" t="inlineStr">
        <is>
          <t>5 of 6</t>
        </is>
      </c>
      <c r="J20" s="4" t="inlineStr">
        <is>
          <t>No</t>
        </is>
      </c>
    </row>
    <row r="21">
      <c r="A21" s="4" t="n">
        <v>13820</v>
      </c>
      <c r="B21" s="4" t="n">
        <v>5</v>
      </c>
      <c r="C21" s="4" t="n">
        <v>2003</v>
      </c>
      <c r="D21" s="4" t="inlineStr">
        <is>
          <t>2024-07-16</t>
        </is>
      </c>
      <c r="E21" s="5" t="n">
        <v>620000</v>
      </c>
      <c r="F21" s="4" t="inlineStr">
        <is>
          <t>House</t>
        </is>
      </c>
      <c r="G21" s="4" t="inlineStr">
        <is>
          <t>Yes</t>
        </is>
      </c>
      <c r="H21" s="4" t="inlineStr">
        <is>
          <t>RAWAL, ASEEM OM</t>
        </is>
      </c>
      <c r="I21" s="4" t="inlineStr">
        <is>
          <t>6 of 6</t>
        </is>
      </c>
      <c r="J21" s="4" t="inlineStr">
        <is>
          <t>No</t>
        </is>
      </c>
    </row>
    <row r="22">
      <c r="A22" s="4" t="n">
        <v>13824</v>
      </c>
      <c r="B22" s="4" t="n">
        <v>6</v>
      </c>
      <c r="C22" s="4" t="n">
        <v>2003</v>
      </c>
      <c r="D22" s="4" t="inlineStr">
        <is>
          <t>2003-07-22</t>
        </is>
      </c>
      <c r="E22" s="5" t="n">
        <v>450600</v>
      </c>
      <c r="F22" s="4" t="inlineStr">
        <is>
          <t>House</t>
        </is>
      </c>
      <c r="G22" s="4" t="inlineStr">
        <is>
          <t>Yes</t>
        </is>
      </c>
      <c r="H22" s="4" t="inlineStr">
        <is>
          <t>MATAZINSKI, ROBERT</t>
        </is>
      </c>
      <c r="I22" s="4" t="inlineStr">
        <is>
          <t>1 of 1</t>
        </is>
      </c>
      <c r="J22" s="39" t="inlineStr">
        <is>
          <t>Yes</t>
        </is>
      </c>
    </row>
    <row r="23">
      <c r="A23" s="4" t="n">
        <v>13828</v>
      </c>
      <c r="B23" s="4" t="n">
        <v>7</v>
      </c>
      <c r="C23" s="4" t="n">
        <v>2003</v>
      </c>
      <c r="D23" s="4" t="inlineStr">
        <is>
          <t>2002-09-11</t>
        </is>
      </c>
      <c r="E23" s="5" t="n">
        <v>90000</v>
      </c>
      <c r="F23" s="4" t="inlineStr">
        <is>
          <t>Lot</t>
        </is>
      </c>
      <c r="G23" s="4" t="inlineStr">
        <is>
          <t>Yes</t>
        </is>
      </c>
      <c r="H23" s="4" t="inlineStr">
        <is>
          <t>MINTON, DAYLARD E III</t>
        </is>
      </c>
      <c r="I23" s="4" t="inlineStr">
        <is>
          <t>1 of 5</t>
        </is>
      </c>
      <c r="J23" s="4" t="inlineStr">
        <is>
          <t>No</t>
        </is>
      </c>
    </row>
    <row r="24">
      <c r="A24" s="4" t="n">
        <v>13828</v>
      </c>
      <c r="B24" s="4" t="n">
        <v>7</v>
      </c>
      <c r="C24" s="4" t="n">
        <v>2003</v>
      </c>
      <c r="D24" s="4" t="inlineStr">
        <is>
          <t>2012-07-30</t>
        </is>
      </c>
      <c r="E24" s="5" t="n">
        <v>365000</v>
      </c>
      <c r="F24" s="4" t="inlineStr">
        <is>
          <t>House</t>
        </is>
      </c>
      <c r="G24" s="4" t="inlineStr">
        <is>
          <t>Yes</t>
        </is>
      </c>
      <c r="H24" s="4" t="inlineStr">
        <is>
          <t>PIETSCH, MICHAEL R</t>
        </is>
      </c>
      <c r="I24" s="4" t="inlineStr">
        <is>
          <t>2 of 5</t>
        </is>
      </c>
      <c r="J24" s="4" t="inlineStr">
        <is>
          <t>No</t>
        </is>
      </c>
    </row>
    <row r="25">
      <c r="A25" s="4" t="n">
        <v>13828</v>
      </c>
      <c r="B25" s="4" t="n">
        <v>7</v>
      </c>
      <c r="C25" s="4" t="n">
        <v>2003</v>
      </c>
      <c r="D25" s="4" t="inlineStr">
        <is>
          <t>2013-05-20</t>
        </is>
      </c>
      <c r="E25" s="5" t="n">
        <v>499900</v>
      </c>
      <c r="F25" s="4" t="inlineStr">
        <is>
          <t>House</t>
        </is>
      </c>
      <c r="G25" s="4" t="inlineStr">
        <is>
          <t>Yes</t>
        </is>
      </c>
      <c r="H25" s="4" t="inlineStr">
        <is>
          <t>TAVARES, ANTONIO</t>
        </is>
      </c>
      <c r="I25" s="4" t="inlineStr">
        <is>
          <t>3 of 5</t>
        </is>
      </c>
      <c r="J25" s="4" t="inlineStr">
        <is>
          <t>No</t>
        </is>
      </c>
    </row>
    <row r="26">
      <c r="A26" s="4" t="n">
        <v>13828</v>
      </c>
      <c r="B26" s="4" t="n">
        <v>7</v>
      </c>
      <c r="C26" s="4" t="n">
        <v>2003</v>
      </c>
      <c r="D26" s="4" t="inlineStr">
        <is>
          <t>2019-02-11</t>
        </is>
      </c>
      <c r="E26" s="5" t="n">
        <v>540000</v>
      </c>
      <c r="F26" s="4" t="inlineStr">
        <is>
          <t>House</t>
        </is>
      </c>
      <c r="G26" s="4" t="inlineStr">
        <is>
          <t>Yes</t>
        </is>
      </c>
      <c r="H26" s="4" t="inlineStr">
        <is>
          <t>PHILLIPS, JANE ANN</t>
        </is>
      </c>
      <c r="I26" s="4" t="inlineStr">
        <is>
          <t>4 of 5</t>
        </is>
      </c>
      <c r="J26" s="4" t="inlineStr">
        <is>
          <t>No</t>
        </is>
      </c>
    </row>
    <row r="27">
      <c r="A27" s="4" t="n">
        <v>13828</v>
      </c>
      <c r="B27" s="4" t="n">
        <v>7</v>
      </c>
      <c r="C27" s="4" t="n">
        <v>2003</v>
      </c>
      <c r="D27" s="4" t="inlineStr">
        <is>
          <t>2026-06-01</t>
        </is>
      </c>
      <c r="E27" s="5" t="n">
        <v>799000</v>
      </c>
      <c r="F27" s="4" t="inlineStr">
        <is>
          <t>House</t>
        </is>
      </c>
      <c r="G27" s="4" t="inlineStr">
        <is>
          <t>Yes</t>
        </is>
      </c>
      <c r="H27" s="4" t="inlineStr">
        <is>
          <t>MCDONAUGH, ROMA</t>
        </is>
      </c>
      <c r="I27" s="4" t="inlineStr">
        <is>
          <t>5 of 5</t>
        </is>
      </c>
      <c r="J27" s="4" t="inlineStr">
        <is>
          <t>No</t>
        </is>
      </c>
    </row>
    <row r="28">
      <c r="A28" s="4" t="n">
        <v>13832</v>
      </c>
      <c r="B28" s="4" t="n">
        <v>8</v>
      </c>
      <c r="C28" s="4" t="n">
        <v>2004</v>
      </c>
      <c r="D28" s="4" t="inlineStr">
        <is>
          <t>2004-03-29</t>
        </is>
      </c>
      <c r="E28" s="5" t="n">
        <v>110500</v>
      </c>
      <c r="F28" s="4" t="inlineStr">
        <is>
          <t>Lot</t>
        </is>
      </c>
      <c r="G28" s="4" t="inlineStr">
        <is>
          <t>Yes</t>
        </is>
      </c>
      <c r="H28" s="4" t="inlineStr">
        <is>
          <t>MCQUILLEN, GEORGE P</t>
        </is>
      </c>
      <c r="I28" s="4" t="inlineStr">
        <is>
          <t>1 of 3</t>
        </is>
      </c>
      <c r="J28" s="4" t="inlineStr">
        <is>
          <t>No</t>
        </is>
      </c>
    </row>
    <row r="29">
      <c r="A29" s="4" t="n">
        <v>13832</v>
      </c>
      <c r="B29" s="4" t="n">
        <v>8</v>
      </c>
      <c r="C29" s="4" t="n">
        <v>2004</v>
      </c>
      <c r="D29" s="4" t="inlineStr">
        <is>
          <t>2011-04-14</t>
        </is>
      </c>
      <c r="E29" s="5" t="n">
        <v>328500</v>
      </c>
      <c r="F29" s="4" t="inlineStr">
        <is>
          <t>House</t>
        </is>
      </c>
      <c r="G29" s="4" t="inlineStr">
        <is>
          <t>Yes</t>
        </is>
      </c>
      <c r="H29" s="4" t="inlineStr">
        <is>
          <t>ZELLER, DWAYNE</t>
        </is>
      </c>
      <c r="I29" s="4" t="inlineStr">
        <is>
          <t>2 of 3</t>
        </is>
      </c>
      <c r="J29" s="4" t="inlineStr">
        <is>
          <t>No</t>
        </is>
      </c>
    </row>
    <row r="30">
      <c r="A30" s="4" t="n">
        <v>13832</v>
      </c>
      <c r="B30" s="4" t="n">
        <v>8</v>
      </c>
      <c r="C30" s="4" t="n">
        <v>2004</v>
      </c>
      <c r="D30" s="4" t="inlineStr">
        <is>
          <t>2020-07-23</t>
        </is>
      </c>
      <c r="E30" s="5" t="n">
        <v>370000</v>
      </c>
      <c r="F30" s="4" t="inlineStr">
        <is>
          <t>House</t>
        </is>
      </c>
      <c r="G30" s="4" t="inlineStr">
        <is>
          <t>Yes</t>
        </is>
      </c>
      <c r="H30" s="4" t="inlineStr">
        <is>
          <t>MURPHY, JOHN M</t>
        </is>
      </c>
      <c r="I30" s="4" t="inlineStr">
        <is>
          <t>3 of 3</t>
        </is>
      </c>
      <c r="J30" s="4" t="inlineStr">
        <is>
          <t>No</t>
        </is>
      </c>
    </row>
    <row r="31">
      <c r="A31" s="4" t="n">
        <v>13836</v>
      </c>
      <c r="B31" s="4" t="n">
        <v>9</v>
      </c>
      <c r="C31" s="4" t="n">
        <v>2005</v>
      </c>
      <c r="D31" s="4" t="inlineStr">
        <is>
          <t>2004-05-26</t>
        </is>
      </c>
      <c r="E31" s="5" t="n">
        <v>108500</v>
      </c>
      <c r="F31" s="4" t="inlineStr">
        <is>
          <t>Lot</t>
        </is>
      </c>
      <c r="G31" s="4" t="inlineStr">
        <is>
          <t>Yes</t>
        </is>
      </c>
      <c r="H31" s="4" t="inlineStr">
        <is>
          <t>OLSON, VINCENT T</t>
        </is>
      </c>
      <c r="I31" s="4" t="inlineStr">
        <is>
          <t>1 of 3</t>
        </is>
      </c>
      <c r="J31" s="4" t="inlineStr">
        <is>
          <t>No</t>
        </is>
      </c>
    </row>
    <row r="32">
      <c r="A32" s="4" t="n">
        <v>13836</v>
      </c>
      <c r="B32" s="4" t="n">
        <v>9</v>
      </c>
      <c r="C32" s="4" t="n">
        <v>2005</v>
      </c>
      <c r="D32" s="4" t="inlineStr">
        <is>
          <t>2018-05-02</t>
        </is>
      </c>
      <c r="E32" s="5" t="n">
        <v>393000</v>
      </c>
      <c r="F32" s="4" t="inlineStr">
        <is>
          <t>House</t>
        </is>
      </c>
      <c r="G32" s="4" t="inlineStr">
        <is>
          <t>Yes</t>
        </is>
      </c>
      <c r="H32" s="4" t="inlineStr">
        <is>
          <t>HIRSCH, WILLIAM L JR</t>
        </is>
      </c>
      <c r="I32" s="4" t="inlineStr">
        <is>
          <t>2 of 3</t>
        </is>
      </c>
      <c r="J32" s="4" t="inlineStr">
        <is>
          <t>No</t>
        </is>
      </c>
    </row>
    <row r="33">
      <c r="A33" s="4" t="n">
        <v>13836</v>
      </c>
      <c r="B33" s="4" t="n">
        <v>9</v>
      </c>
      <c r="C33" s="4" t="n">
        <v>2005</v>
      </c>
      <c r="D33" s="4" t="inlineStr">
        <is>
          <t>2019-03-01</t>
        </is>
      </c>
      <c r="E33" s="5" t="n">
        <v>439000</v>
      </c>
      <c r="F33" s="4" t="inlineStr">
        <is>
          <t>House</t>
        </is>
      </c>
      <c r="G33" s="4" t="inlineStr">
        <is>
          <t>Yes</t>
        </is>
      </c>
      <c r="H33" s="4" t="inlineStr">
        <is>
          <t>MORRILL, DORIS D</t>
        </is>
      </c>
      <c r="I33" s="4" t="inlineStr">
        <is>
          <t>3 of 3</t>
        </is>
      </c>
      <c r="J33" s="4" t="inlineStr">
        <is>
          <t>No</t>
        </is>
      </c>
    </row>
    <row r="34">
      <c r="A34" s="4" t="n">
        <v>13840</v>
      </c>
      <c r="B34" s="4" t="n">
        <v>10</v>
      </c>
      <c r="C34" s="4" t="n">
        <v>2005</v>
      </c>
      <c r="D34" s="4" t="inlineStr">
        <is>
          <t>2004-06-04</t>
        </is>
      </c>
      <c r="E34" s="5" t="n">
        <v>101500</v>
      </c>
      <c r="F34" s="4" t="inlineStr">
        <is>
          <t>Lot</t>
        </is>
      </c>
      <c r="G34" s="4" t="inlineStr">
        <is>
          <t>Yes</t>
        </is>
      </c>
      <c r="H34" s="4" t="inlineStr">
        <is>
          <t>MANN, DOUGLASS M</t>
        </is>
      </c>
      <c r="I34" s="4" t="inlineStr">
        <is>
          <t>1 of 1</t>
        </is>
      </c>
      <c r="J34" s="39" t="inlineStr">
        <is>
          <t>Yes</t>
        </is>
      </c>
    </row>
    <row r="35">
      <c r="A35" s="4" t="n">
        <v>13844</v>
      </c>
      <c r="B35" s="4" t="n">
        <v>11</v>
      </c>
      <c r="C35" s="4" t="n">
        <v>2003</v>
      </c>
      <c r="D35" s="4" t="inlineStr">
        <is>
          <t>2003-04-28</t>
        </is>
      </c>
      <c r="E35" s="5" t="n">
        <v>460400</v>
      </c>
      <c r="F35" s="4" t="inlineStr">
        <is>
          <t>House</t>
        </is>
      </c>
      <c r="G35" s="4" t="inlineStr">
        <is>
          <t>Yes</t>
        </is>
      </c>
      <c r="H35" s="4" t="inlineStr">
        <is>
          <t>KEEN, FRANK</t>
        </is>
      </c>
      <c r="I35" s="4" t="inlineStr">
        <is>
          <t>1 of 5</t>
        </is>
      </c>
      <c r="J35" s="4" t="inlineStr">
        <is>
          <t>No</t>
        </is>
      </c>
    </row>
    <row r="36">
      <c r="A36" s="4" t="n">
        <v>13844</v>
      </c>
      <c r="B36" s="4" t="n">
        <v>11</v>
      </c>
      <c r="C36" s="4" t="n">
        <v>2003</v>
      </c>
      <c r="D36" s="4" t="inlineStr">
        <is>
          <t>2011-10-31</t>
        </is>
      </c>
      <c r="E36" s="5" t="n">
        <v>367500</v>
      </c>
      <c r="F36" s="4" t="inlineStr">
        <is>
          <t>House</t>
        </is>
      </c>
      <c r="G36" s="4" t="inlineStr">
        <is>
          <t>Yes</t>
        </is>
      </c>
      <c r="H36" s="4" t="inlineStr">
        <is>
          <t>SCHWAB, SYLVIA S</t>
        </is>
      </c>
      <c r="I36" s="4" t="inlineStr">
        <is>
          <t>2 of 5</t>
        </is>
      </c>
      <c r="J36" s="4" t="inlineStr">
        <is>
          <t>No</t>
        </is>
      </c>
    </row>
    <row r="37">
      <c r="A37" s="4" t="n">
        <v>13844</v>
      </c>
      <c r="B37" s="4" t="n">
        <v>11</v>
      </c>
      <c r="C37" s="4" t="n">
        <v>2003</v>
      </c>
      <c r="D37" s="4" t="inlineStr">
        <is>
          <t>2015-07-03</t>
        </is>
      </c>
      <c r="E37" s="5" t="n">
        <v>399900</v>
      </c>
      <c r="F37" s="4" t="inlineStr">
        <is>
          <t>House</t>
        </is>
      </c>
      <c r="G37" s="38" t="inlineStr">
        <is>
          <t>No</t>
        </is>
      </c>
      <c r="H37" s="4" t="inlineStr">
        <is>
          <t>WIRSKI, ROBERT</t>
        </is>
      </c>
      <c r="I37" s="4" t="inlineStr">
        <is>
          <t>3 of 5</t>
        </is>
      </c>
      <c r="J37" s="4" t="inlineStr">
        <is>
          <t>No</t>
        </is>
      </c>
    </row>
    <row r="38">
      <c r="A38" s="4" t="n">
        <v>13844</v>
      </c>
      <c r="B38" s="4" t="n">
        <v>11</v>
      </c>
      <c r="C38" s="4" t="n">
        <v>2003</v>
      </c>
      <c r="D38" s="4" t="inlineStr">
        <is>
          <t>2018-02-14</t>
        </is>
      </c>
      <c r="E38" s="5" t="n">
        <v>380000</v>
      </c>
      <c r="F38" s="4" t="inlineStr">
        <is>
          <t>House</t>
        </is>
      </c>
      <c r="G38" s="4" t="inlineStr">
        <is>
          <t>Yes</t>
        </is>
      </c>
      <c r="H38" s="4" t="inlineStr">
        <is>
          <t>FLEMING, EUGENE</t>
        </is>
      </c>
      <c r="I38" s="4" t="inlineStr">
        <is>
          <t>4 of 5</t>
        </is>
      </c>
      <c r="J38" s="4" t="inlineStr">
        <is>
          <t>No</t>
        </is>
      </c>
    </row>
    <row r="39">
      <c r="A39" s="4" t="n">
        <v>13844</v>
      </c>
      <c r="B39" s="4" t="n">
        <v>11</v>
      </c>
      <c r="C39" s="4" t="n">
        <v>2003</v>
      </c>
      <c r="D39" s="4" t="inlineStr">
        <is>
          <t>2020-01-02</t>
        </is>
      </c>
      <c r="E39" s="5" t="n">
        <v>430000</v>
      </c>
      <c r="F39" s="4" t="inlineStr">
        <is>
          <t>House</t>
        </is>
      </c>
      <c r="G39" s="4" t="inlineStr">
        <is>
          <t>Yes</t>
        </is>
      </c>
      <c r="H39" s="4" t="inlineStr">
        <is>
          <t>TESKE, BONNIE J</t>
        </is>
      </c>
      <c r="I39" s="4" t="inlineStr">
        <is>
          <t>5 of 5</t>
        </is>
      </c>
      <c r="J39" s="4" t="inlineStr">
        <is>
          <t>No</t>
        </is>
      </c>
    </row>
    <row r="40">
      <c r="A40" s="4" t="n">
        <v>13848</v>
      </c>
      <c r="B40" s="4" t="n">
        <v>12</v>
      </c>
      <c r="C40" s="4" t="n">
        <v>2006</v>
      </c>
      <c r="D40" s="4" t="inlineStr">
        <is>
          <t>2005-02-10</t>
        </is>
      </c>
      <c r="E40" s="5" t="n">
        <v>126500</v>
      </c>
      <c r="F40" s="4" t="inlineStr">
        <is>
          <t>Lot</t>
        </is>
      </c>
      <c r="G40" s="4" t="inlineStr">
        <is>
          <t>Yes</t>
        </is>
      </c>
      <c r="H40" s="4" t="inlineStr">
        <is>
          <t>SCHLUP, BARTH RICHARD</t>
        </is>
      </c>
      <c r="I40" s="4" t="inlineStr">
        <is>
          <t>1 of 2</t>
        </is>
      </c>
      <c r="J40" s="4" t="inlineStr">
        <is>
          <t>No</t>
        </is>
      </c>
    </row>
    <row r="41">
      <c r="A41" s="4" t="n">
        <v>13848</v>
      </c>
      <c r="B41" s="4" t="n">
        <v>12</v>
      </c>
      <c r="C41" s="4" t="n">
        <v>2006</v>
      </c>
      <c r="D41" s="4" t="inlineStr">
        <is>
          <t>2017-04-28</t>
        </is>
      </c>
      <c r="E41" s="5" t="n">
        <v>400000</v>
      </c>
      <c r="F41" s="4" t="inlineStr">
        <is>
          <t>House</t>
        </is>
      </c>
      <c r="G41" s="4" t="inlineStr">
        <is>
          <t>Yes</t>
        </is>
      </c>
      <c r="H41" s="4" t="inlineStr">
        <is>
          <t>NATHANS, HOWARD B</t>
        </is>
      </c>
      <c r="I41" s="4" t="inlineStr">
        <is>
          <t>2 of 2</t>
        </is>
      </c>
      <c r="J41" s="4" t="inlineStr">
        <is>
          <t>No</t>
        </is>
      </c>
    </row>
    <row r="42">
      <c r="A42" s="4" t="n">
        <v>13849</v>
      </c>
      <c r="B42" s="4" t="n">
        <v>48</v>
      </c>
      <c r="C42" s="4" t="n">
        <v>2003</v>
      </c>
      <c r="D42" s="4" t="inlineStr">
        <is>
          <t>2003-12-10</t>
        </is>
      </c>
      <c r="E42" s="5" t="n">
        <v>481500</v>
      </c>
      <c r="F42" s="4" t="inlineStr">
        <is>
          <t>House</t>
        </is>
      </c>
      <c r="G42" s="4" t="inlineStr">
        <is>
          <t>Yes</t>
        </is>
      </c>
      <c r="H42" s="4" t="inlineStr">
        <is>
          <t>IVY, LARRY</t>
        </is>
      </c>
      <c r="I42" s="4" t="inlineStr">
        <is>
          <t>1 of 3</t>
        </is>
      </c>
      <c r="J42" s="4" t="inlineStr">
        <is>
          <t>No</t>
        </is>
      </c>
    </row>
    <row r="43">
      <c r="A43" s="4" t="n">
        <v>13849</v>
      </c>
      <c r="B43" s="4" t="n">
        <v>48</v>
      </c>
      <c r="C43" s="4" t="n">
        <v>2003</v>
      </c>
      <c r="D43" s="4" t="inlineStr">
        <is>
          <t>2008-01-28</t>
        </is>
      </c>
      <c r="E43" s="5" t="n">
        <v>595000</v>
      </c>
      <c r="F43" s="4" t="inlineStr">
        <is>
          <t>House</t>
        </is>
      </c>
      <c r="G43" s="4" t="inlineStr">
        <is>
          <t>Yes</t>
        </is>
      </c>
      <c r="H43" s="4" t="inlineStr">
        <is>
          <t>CHAMP, REGIS G</t>
        </is>
      </c>
      <c r="I43" s="4" t="inlineStr">
        <is>
          <t>2 of 3</t>
        </is>
      </c>
      <c r="J43" s="4" t="inlineStr">
        <is>
          <t>No</t>
        </is>
      </c>
    </row>
    <row r="44">
      <c r="A44" s="4" t="n">
        <v>13849</v>
      </c>
      <c r="B44" s="4" t="n">
        <v>48</v>
      </c>
      <c r="C44" s="4" t="n">
        <v>2003</v>
      </c>
      <c r="D44" s="4" t="inlineStr">
        <is>
          <t>2012-03-16</t>
        </is>
      </c>
      <c r="E44" s="5" t="n">
        <v>410000</v>
      </c>
      <c r="F44" s="4" t="inlineStr">
        <is>
          <t>House</t>
        </is>
      </c>
      <c r="G44" s="4" t="inlineStr">
        <is>
          <t>Yes</t>
        </is>
      </c>
      <c r="H44" s="4" t="inlineStr">
        <is>
          <t>BOUSQUET, JAMES J</t>
        </is>
      </c>
      <c r="I44" s="4" t="inlineStr">
        <is>
          <t>3 of 3</t>
        </is>
      </c>
      <c r="J44" s="4" t="inlineStr">
        <is>
          <t>No</t>
        </is>
      </c>
    </row>
    <row r="45">
      <c r="A45" s="4" t="n">
        <v>13852</v>
      </c>
      <c r="B45" s="4" t="n">
        <v>13</v>
      </c>
      <c r="C45" s="4" t="n">
        <v>2006</v>
      </c>
      <c r="D45" s="4" t="inlineStr">
        <is>
          <t>2006-03-03</t>
        </is>
      </c>
      <c r="E45" s="5" t="n">
        <v>613400</v>
      </c>
      <c r="F45" s="4" t="inlineStr">
        <is>
          <t>House</t>
        </is>
      </c>
      <c r="G45" s="4" t="inlineStr">
        <is>
          <t>Yes</t>
        </is>
      </c>
      <c r="H45" s="4" t="inlineStr">
        <is>
          <t>BHALODIA, ASHOKKUMA L</t>
        </is>
      </c>
      <c r="I45" s="4" t="inlineStr">
        <is>
          <t>1 of 3</t>
        </is>
      </c>
      <c r="J45" s="4" t="inlineStr">
        <is>
          <t>No</t>
        </is>
      </c>
    </row>
    <row r="46">
      <c r="A46" s="4" t="n">
        <v>13852</v>
      </c>
      <c r="B46" s="4" t="n">
        <v>13</v>
      </c>
      <c r="C46" s="4" t="n">
        <v>2006</v>
      </c>
      <c r="D46" s="4" t="inlineStr">
        <is>
          <t>2008-05-27</t>
        </is>
      </c>
      <c r="E46" s="5" t="n">
        <v>492000</v>
      </c>
      <c r="F46" s="4" t="inlineStr">
        <is>
          <t>House</t>
        </is>
      </c>
      <c r="G46" s="4" t="inlineStr">
        <is>
          <t>Yes</t>
        </is>
      </c>
      <c r="H46" s="4" t="inlineStr">
        <is>
          <t>MAXWELL, CHARLENE A</t>
        </is>
      </c>
      <c r="I46" s="4" t="inlineStr">
        <is>
          <t>2 of 3</t>
        </is>
      </c>
      <c r="J46" s="4" t="inlineStr">
        <is>
          <t>No</t>
        </is>
      </c>
    </row>
    <row r="47">
      <c r="A47" s="4" t="n">
        <v>13852</v>
      </c>
      <c r="B47" s="4" t="n">
        <v>13</v>
      </c>
      <c r="C47" s="4" t="n">
        <v>2006</v>
      </c>
      <c r="D47" s="4" t="inlineStr">
        <is>
          <t>2021-03-01</t>
        </is>
      </c>
      <c r="E47" s="5" t="n">
        <v>440000</v>
      </c>
      <c r="F47" s="4" t="inlineStr">
        <is>
          <t>House</t>
        </is>
      </c>
      <c r="G47" s="38" t="inlineStr">
        <is>
          <t>No</t>
        </is>
      </c>
      <c r="H47" s="4" t="inlineStr">
        <is>
          <t>HINES, KEVIN PATRICK SR</t>
        </is>
      </c>
      <c r="I47" s="4" t="inlineStr">
        <is>
          <t>3 of 3</t>
        </is>
      </c>
      <c r="J47" s="4" t="inlineStr">
        <is>
          <t>No</t>
        </is>
      </c>
    </row>
    <row r="48">
      <c r="A48" s="4" t="n">
        <v>13853</v>
      </c>
      <c r="B48" s="4" t="n">
        <v>49</v>
      </c>
      <c r="C48" s="4" t="n">
        <v>2005</v>
      </c>
      <c r="D48" s="4" t="inlineStr">
        <is>
          <t>2005-12-16</t>
        </is>
      </c>
      <c r="E48" s="5" t="n">
        <v>634500</v>
      </c>
      <c r="F48" s="4" t="inlineStr">
        <is>
          <t>House</t>
        </is>
      </c>
      <c r="G48" s="4" t="inlineStr">
        <is>
          <t>Yes</t>
        </is>
      </c>
      <c r="H48" s="4" t="inlineStr">
        <is>
          <t>CLEMENTE, ARTHUR</t>
        </is>
      </c>
      <c r="I48" s="4" t="inlineStr">
        <is>
          <t>1 of 3</t>
        </is>
      </c>
      <c r="J48" s="4" t="inlineStr">
        <is>
          <t>No</t>
        </is>
      </c>
    </row>
    <row r="49">
      <c r="A49" s="4" t="n">
        <v>13853</v>
      </c>
      <c r="B49" s="4" t="n">
        <v>49</v>
      </c>
      <c r="C49" s="4" t="n">
        <v>2005</v>
      </c>
      <c r="D49" s="4" t="inlineStr">
        <is>
          <t>2007-11-09</t>
        </is>
      </c>
      <c r="E49" s="5" t="n">
        <v>745000</v>
      </c>
      <c r="F49" s="4" t="inlineStr">
        <is>
          <t>House</t>
        </is>
      </c>
      <c r="G49" s="38" t="inlineStr">
        <is>
          <t>No</t>
        </is>
      </c>
      <c r="H49" s="4" t="inlineStr">
        <is>
          <t>CLEMENTE, C L</t>
        </is>
      </c>
      <c r="I49" s="4" t="inlineStr">
        <is>
          <t>2 of 3</t>
        </is>
      </c>
      <c r="J49" s="4" t="inlineStr">
        <is>
          <t>No</t>
        </is>
      </c>
    </row>
    <row r="50">
      <c r="A50" s="4" t="n">
        <v>13853</v>
      </c>
      <c r="B50" s="4" t="n">
        <v>49</v>
      </c>
      <c r="C50" s="4" t="n">
        <v>2005</v>
      </c>
      <c r="D50" s="4" t="inlineStr">
        <is>
          <t>2017-02-01</t>
        </is>
      </c>
      <c r="E50" s="5" t="n">
        <v>385000</v>
      </c>
      <c r="F50" s="4" t="inlineStr">
        <is>
          <t>House</t>
        </is>
      </c>
      <c r="G50" s="4" t="inlineStr">
        <is>
          <t>Yes</t>
        </is>
      </c>
      <c r="H50" s="4" t="inlineStr">
        <is>
          <t>NEMAN, DENNIS A</t>
        </is>
      </c>
      <c r="I50" s="4" t="inlineStr">
        <is>
          <t>3 of 3</t>
        </is>
      </c>
      <c r="J50" s="4" t="inlineStr">
        <is>
          <t>No</t>
        </is>
      </c>
    </row>
    <row r="51">
      <c r="A51" s="4" t="n">
        <v>13856</v>
      </c>
      <c r="B51" s="4" t="n">
        <v>14</v>
      </c>
      <c r="C51" s="4" t="n">
        <v>2005</v>
      </c>
      <c r="D51" s="4" t="inlineStr">
        <is>
          <t>2005-10-24</t>
        </is>
      </c>
      <c r="E51" s="5" t="n">
        <v>536000</v>
      </c>
      <c r="F51" s="4" t="inlineStr">
        <is>
          <t>House</t>
        </is>
      </c>
      <c r="G51" s="4" t="inlineStr">
        <is>
          <t>Yes</t>
        </is>
      </c>
      <c r="H51" s="4" t="inlineStr">
        <is>
          <t>ANTHONY, JAY A</t>
        </is>
      </c>
      <c r="I51" s="4" t="inlineStr">
        <is>
          <t>1 of 1</t>
        </is>
      </c>
      <c r="J51" s="39" t="inlineStr">
        <is>
          <t>Yes</t>
        </is>
      </c>
    </row>
    <row r="52">
      <c r="A52" s="4" t="n">
        <v>13857</v>
      </c>
      <c r="B52" s="4" t="n">
        <v>50</v>
      </c>
      <c r="C52" s="4" t="n">
        <v>2003</v>
      </c>
      <c r="D52" s="4" t="inlineStr">
        <is>
          <t>2004-05-06</t>
        </is>
      </c>
      <c r="E52" s="5" t="n">
        <v>475000</v>
      </c>
      <c r="F52" s="4" t="inlineStr">
        <is>
          <t>House</t>
        </is>
      </c>
      <c r="G52" s="4" t="inlineStr">
        <is>
          <t>Yes</t>
        </is>
      </c>
      <c r="H52" s="4" t="inlineStr">
        <is>
          <t>CAMPBELL, WILLIAM R</t>
        </is>
      </c>
      <c r="I52" s="4" t="inlineStr">
        <is>
          <t>1 of 2</t>
        </is>
      </c>
      <c r="J52" s="4" t="inlineStr">
        <is>
          <t>No</t>
        </is>
      </c>
    </row>
    <row r="53">
      <c r="A53" s="4" t="n">
        <v>13857</v>
      </c>
      <c r="B53" s="4" t="n">
        <v>50</v>
      </c>
      <c r="C53" s="4" t="n">
        <v>2003</v>
      </c>
      <c r="D53" s="4" t="inlineStr">
        <is>
          <t>2010-06-18</t>
        </is>
      </c>
      <c r="E53" s="5" t="n">
        <v>395000</v>
      </c>
      <c r="F53" s="4" t="inlineStr">
        <is>
          <t>House</t>
        </is>
      </c>
      <c r="G53" s="4" t="inlineStr">
        <is>
          <t>Yes</t>
        </is>
      </c>
      <c r="H53" s="4" t="inlineStr">
        <is>
          <t>KEAN, CHARLES W</t>
        </is>
      </c>
      <c r="I53" s="4" t="inlineStr">
        <is>
          <t>2 of 2</t>
        </is>
      </c>
      <c r="J53" s="4" t="inlineStr">
        <is>
          <t>No</t>
        </is>
      </c>
    </row>
    <row r="54">
      <c r="A54" s="4" t="n">
        <v>13860</v>
      </c>
      <c r="B54" s="4" t="n">
        <v>15</v>
      </c>
      <c r="C54" s="4" t="n">
        <v>2005</v>
      </c>
      <c r="D54" s="4" t="inlineStr">
        <is>
          <t>2004-07-30</t>
        </is>
      </c>
      <c r="E54" s="5" t="n">
        <v>102500</v>
      </c>
      <c r="F54" s="4" t="inlineStr">
        <is>
          <t>Lot</t>
        </is>
      </c>
      <c r="G54" s="4" t="inlineStr">
        <is>
          <t>Yes</t>
        </is>
      </c>
      <c r="H54" s="4" t="inlineStr">
        <is>
          <t>MARSH, DONNA M</t>
        </is>
      </c>
      <c r="I54" s="4" t="inlineStr">
        <is>
          <t>1 of 4</t>
        </is>
      </c>
      <c r="J54" s="4" t="inlineStr">
        <is>
          <t>No</t>
        </is>
      </c>
    </row>
    <row r="55">
      <c r="A55" s="4" t="n">
        <v>13860</v>
      </c>
      <c r="B55" s="4" t="n">
        <v>15</v>
      </c>
      <c r="C55" s="4" t="n">
        <v>2005</v>
      </c>
      <c r="D55" s="4" t="inlineStr">
        <is>
          <t>2007-11-28</t>
        </is>
      </c>
      <c r="E55" s="5" t="n">
        <v>390300</v>
      </c>
      <c r="F55" s="4" t="inlineStr">
        <is>
          <t>House</t>
        </is>
      </c>
      <c r="G55" s="38" t="inlineStr">
        <is>
          <t>No</t>
        </is>
      </c>
      <c r="H55" s="4" t="inlineStr">
        <is>
          <t>SUNTRUST BANK</t>
        </is>
      </c>
      <c r="I55" s="4" t="inlineStr">
        <is>
          <t>2 of 4</t>
        </is>
      </c>
      <c r="J55" s="4" t="inlineStr">
        <is>
          <t>No</t>
        </is>
      </c>
    </row>
    <row r="56">
      <c r="A56" s="4" t="n">
        <v>13860</v>
      </c>
      <c r="B56" s="4" t="n">
        <v>15</v>
      </c>
      <c r="C56" s="4" t="n">
        <v>2005</v>
      </c>
      <c r="D56" s="4" t="inlineStr">
        <is>
          <t>2010-04-21</t>
        </is>
      </c>
      <c r="E56" s="5" t="n">
        <v>384900</v>
      </c>
      <c r="F56" s="4" t="inlineStr">
        <is>
          <t>House</t>
        </is>
      </c>
      <c r="G56" s="38" t="inlineStr">
        <is>
          <t>No</t>
        </is>
      </c>
      <c r="H56" s="4" t="inlineStr">
        <is>
          <t>DAVIS, JAMES D</t>
        </is>
      </c>
      <c r="I56" s="4" t="inlineStr">
        <is>
          <t>3 of 4</t>
        </is>
      </c>
      <c r="J56" s="4" t="inlineStr">
        <is>
          <t>No</t>
        </is>
      </c>
    </row>
    <row r="57">
      <c r="A57" s="4" t="n">
        <v>13860</v>
      </c>
      <c r="B57" s="4" t="n">
        <v>15</v>
      </c>
      <c r="C57" s="4" t="n">
        <v>2005</v>
      </c>
      <c r="D57" s="4" t="inlineStr">
        <is>
          <t>2020-10-13</t>
        </is>
      </c>
      <c r="E57" s="5" t="n">
        <v>520000</v>
      </c>
      <c r="F57" s="4" t="inlineStr">
        <is>
          <t>House</t>
        </is>
      </c>
      <c r="G57" s="4" t="inlineStr">
        <is>
          <t>Yes</t>
        </is>
      </c>
      <c r="H57" s="4" t="inlineStr">
        <is>
          <t>HAWTHORNE, KERI</t>
        </is>
      </c>
      <c r="I57" s="4" t="inlineStr">
        <is>
          <t>4 of 4</t>
        </is>
      </c>
      <c r="J57" s="4" t="inlineStr">
        <is>
          <t>No</t>
        </is>
      </c>
    </row>
    <row r="58">
      <c r="A58" s="4" t="n">
        <v>13861</v>
      </c>
      <c r="B58" s="4" t="n">
        <v>51</v>
      </c>
      <c r="C58" s="4" t="n">
        <v>2003</v>
      </c>
      <c r="D58" s="4" t="inlineStr">
        <is>
          <t>2002-09-26</t>
        </is>
      </c>
      <c r="E58" s="5" t="n">
        <v>106000</v>
      </c>
      <c r="F58" s="4" t="inlineStr">
        <is>
          <t>Lot</t>
        </is>
      </c>
      <c r="G58" s="4" t="inlineStr">
        <is>
          <t>Yes</t>
        </is>
      </c>
      <c r="H58" s="4" t="inlineStr">
        <is>
          <t>BUTZ, TERRELL J</t>
        </is>
      </c>
      <c r="I58" s="4" t="inlineStr">
        <is>
          <t>1 of 3</t>
        </is>
      </c>
      <c r="J58" s="4" t="inlineStr">
        <is>
          <t>No</t>
        </is>
      </c>
    </row>
    <row r="59">
      <c r="A59" s="4" t="n">
        <v>13861</v>
      </c>
      <c r="B59" s="4" t="n">
        <v>51</v>
      </c>
      <c r="C59" s="4" t="n">
        <v>2003</v>
      </c>
      <c r="D59" s="4" t="inlineStr">
        <is>
          <t>2014-02-26</t>
        </is>
      </c>
      <c r="E59" s="5" t="n">
        <v>430000</v>
      </c>
      <c r="F59" s="4" t="inlineStr">
        <is>
          <t>House</t>
        </is>
      </c>
      <c r="G59" s="4" t="inlineStr">
        <is>
          <t>Yes</t>
        </is>
      </c>
      <c r="H59" s="4" t="inlineStr">
        <is>
          <t>BREINING, WARREN</t>
        </is>
      </c>
      <c r="I59" s="4" t="inlineStr">
        <is>
          <t>2 of 3</t>
        </is>
      </c>
      <c r="J59" s="4" t="inlineStr">
        <is>
          <t>No</t>
        </is>
      </c>
    </row>
    <row r="60">
      <c r="A60" s="4" t="n">
        <v>13861</v>
      </c>
      <c r="B60" s="4" t="n">
        <v>51</v>
      </c>
      <c r="C60" s="4" t="n">
        <v>2003</v>
      </c>
      <c r="D60" s="4" t="inlineStr">
        <is>
          <t>2026-03-17</t>
        </is>
      </c>
      <c r="E60" s="5" t="n">
        <v>610000</v>
      </c>
      <c r="F60" s="4" t="inlineStr">
        <is>
          <t>House</t>
        </is>
      </c>
      <c r="G60" s="4" t="inlineStr">
        <is>
          <t>Yes</t>
        </is>
      </c>
      <c r="H60" s="4" t="inlineStr">
        <is>
          <t>TEDELTA NORTH AMERICA LLC</t>
        </is>
      </c>
      <c r="I60" s="4" t="inlineStr">
        <is>
          <t>3 of 3</t>
        </is>
      </c>
      <c r="J60" s="4" t="inlineStr">
        <is>
          <t>No</t>
        </is>
      </c>
    </row>
    <row r="61">
      <c r="A61" s="4" t="n">
        <v>13864</v>
      </c>
      <c r="B61" s="4" t="n">
        <v>16</v>
      </c>
      <c r="C61" s="4" t="n">
        <v>2004</v>
      </c>
      <c r="D61" s="4" t="inlineStr">
        <is>
          <t>2003-11-17</t>
        </is>
      </c>
      <c r="E61" s="5" t="n">
        <v>103500</v>
      </c>
      <c r="F61" s="4" t="inlineStr">
        <is>
          <t>Lot</t>
        </is>
      </c>
      <c r="G61" s="4" t="inlineStr">
        <is>
          <t>Yes</t>
        </is>
      </c>
      <c r="H61" s="4" t="inlineStr">
        <is>
          <t>STRUMPF, MITCHELL M</t>
        </is>
      </c>
      <c r="I61" s="4" t="inlineStr">
        <is>
          <t>1 of 3</t>
        </is>
      </c>
      <c r="J61" s="4" t="inlineStr">
        <is>
          <t>No</t>
        </is>
      </c>
    </row>
    <row r="62">
      <c r="A62" s="4" t="n">
        <v>13864</v>
      </c>
      <c r="B62" s="4" t="n">
        <v>16</v>
      </c>
      <c r="C62" s="4" t="n">
        <v>2004</v>
      </c>
      <c r="D62" s="4" t="inlineStr">
        <is>
          <t>2018-05-18</t>
        </is>
      </c>
      <c r="E62" s="5" t="n">
        <v>385000</v>
      </c>
      <c r="F62" s="4" t="inlineStr">
        <is>
          <t>House</t>
        </is>
      </c>
      <c r="G62" s="4" t="inlineStr">
        <is>
          <t>Yes</t>
        </is>
      </c>
      <c r="H62" s="4" t="inlineStr">
        <is>
          <t>BRADLEY-WILLIAMS, DEIRDRE</t>
        </is>
      </c>
      <c r="I62" s="4" t="inlineStr">
        <is>
          <t>2 of 3</t>
        </is>
      </c>
      <c r="J62" s="4" t="inlineStr">
        <is>
          <t>No</t>
        </is>
      </c>
    </row>
    <row r="63">
      <c r="A63" s="4" t="n">
        <v>13864</v>
      </c>
      <c r="B63" s="4" t="n">
        <v>16</v>
      </c>
      <c r="C63" s="4" t="n">
        <v>2004</v>
      </c>
      <c r="D63" s="4" t="inlineStr">
        <is>
          <t>2019-05-17</t>
        </is>
      </c>
      <c r="E63" s="5" t="n">
        <v>405000</v>
      </c>
      <c r="F63" s="4" t="inlineStr">
        <is>
          <t>House</t>
        </is>
      </c>
      <c r="G63" s="4" t="inlineStr">
        <is>
          <t>Yes</t>
        </is>
      </c>
      <c r="H63" s="4" t="inlineStr">
        <is>
          <t>HINES, DIANA G</t>
        </is>
      </c>
      <c r="I63" s="4" t="inlineStr">
        <is>
          <t>3 of 3</t>
        </is>
      </c>
      <c r="J63" s="4" t="inlineStr">
        <is>
          <t>No</t>
        </is>
      </c>
    </row>
    <row r="64">
      <c r="A64" s="4" t="n">
        <v>13868</v>
      </c>
      <c r="B64" s="4" t="n">
        <v>17</v>
      </c>
      <c r="C64" s="4" t="n">
        <v>2005</v>
      </c>
      <c r="D64" s="4" t="inlineStr">
        <is>
          <t>2004-04-16</t>
        </is>
      </c>
      <c r="E64" s="5" t="n">
        <v>103500</v>
      </c>
      <c r="F64" s="4" t="inlineStr">
        <is>
          <t>Lot</t>
        </is>
      </c>
      <c r="G64" s="4" t="inlineStr">
        <is>
          <t>Yes</t>
        </is>
      </c>
      <c r="H64" s="4" t="inlineStr">
        <is>
          <t>MATHEWS, JACK S JR</t>
        </is>
      </c>
      <c r="I64" s="4" t="inlineStr">
        <is>
          <t>1 of 1</t>
        </is>
      </c>
      <c r="J64" s="39" t="inlineStr">
        <is>
          <t>Yes</t>
        </is>
      </c>
    </row>
    <row r="65">
      <c r="A65" s="4" t="n">
        <v>13872</v>
      </c>
      <c r="B65" s="4" t="n">
        <v>18</v>
      </c>
      <c r="C65" s="4" t="n">
        <v>2003</v>
      </c>
      <c r="D65" s="4" t="inlineStr">
        <is>
          <t>2003-11-21</t>
        </is>
      </c>
      <c r="E65" s="5" t="n">
        <v>445000</v>
      </c>
      <c r="F65" s="4" t="inlineStr">
        <is>
          <t>House</t>
        </is>
      </c>
      <c r="G65" s="4" t="inlineStr">
        <is>
          <t>Yes</t>
        </is>
      </c>
      <c r="H65" s="4" t="inlineStr">
        <is>
          <t>FRANKLIN, RICHARD C</t>
        </is>
      </c>
      <c r="I65" s="4" t="inlineStr">
        <is>
          <t>1 of 3</t>
        </is>
      </c>
      <c r="J65" s="4" t="inlineStr">
        <is>
          <t>No</t>
        </is>
      </c>
    </row>
    <row r="66">
      <c r="A66" s="4" t="n">
        <v>13872</v>
      </c>
      <c r="B66" s="4" t="n">
        <v>18</v>
      </c>
      <c r="C66" s="4" t="n">
        <v>2003</v>
      </c>
      <c r="D66" s="4" t="inlineStr">
        <is>
          <t>2006-12-08</t>
        </is>
      </c>
      <c r="E66" s="5" t="n">
        <v>580000</v>
      </c>
      <c r="F66" s="4" t="inlineStr">
        <is>
          <t>House</t>
        </is>
      </c>
      <c r="G66" s="4" t="inlineStr">
        <is>
          <t>Yes</t>
        </is>
      </c>
      <c r="H66" s="4" t="inlineStr">
        <is>
          <t>JELLISON, LINDA JEANNE</t>
        </is>
      </c>
      <c r="I66" s="4" t="inlineStr">
        <is>
          <t>2 of 3</t>
        </is>
      </c>
      <c r="J66" s="4" t="inlineStr">
        <is>
          <t>No</t>
        </is>
      </c>
    </row>
    <row r="67">
      <c r="A67" s="4" t="n">
        <v>13872</v>
      </c>
      <c r="B67" s="4" t="n">
        <v>18</v>
      </c>
      <c r="C67" s="4" t="n">
        <v>2003</v>
      </c>
      <c r="D67" s="4" t="inlineStr">
        <is>
          <t>2019-09-12</t>
        </is>
      </c>
      <c r="E67" s="5" t="n">
        <v>454500</v>
      </c>
      <c r="F67" s="4" t="inlineStr">
        <is>
          <t>House</t>
        </is>
      </c>
      <c r="G67" s="4" t="inlineStr">
        <is>
          <t>Yes</t>
        </is>
      </c>
      <c r="H67" s="4" t="inlineStr">
        <is>
          <t>BROWN, ROBERT JEROME</t>
        </is>
      </c>
      <c r="I67" s="4" t="inlineStr">
        <is>
          <t>3 of 3</t>
        </is>
      </c>
      <c r="J67" s="4" t="inlineStr">
        <is>
          <t>No</t>
        </is>
      </c>
    </row>
    <row r="68">
      <c r="A68" s="4" t="n">
        <v>13876</v>
      </c>
      <c r="B68" s="4" t="n">
        <v>19</v>
      </c>
      <c r="C68" s="4" t="n">
        <v>2004</v>
      </c>
      <c r="D68" s="4" t="inlineStr">
        <is>
          <t>2003-09-17</t>
        </is>
      </c>
      <c r="E68" s="5" t="n">
        <v>103000</v>
      </c>
      <c r="F68" s="4" t="inlineStr">
        <is>
          <t>Lot</t>
        </is>
      </c>
      <c r="G68" s="4" t="inlineStr">
        <is>
          <t>Yes</t>
        </is>
      </c>
      <c r="H68" s="4" t="inlineStr">
        <is>
          <t>HOWELL, LINDA G</t>
        </is>
      </c>
      <c r="I68" s="4" t="inlineStr">
        <is>
          <t>1 of 4</t>
        </is>
      </c>
      <c r="J68" s="4" t="inlineStr">
        <is>
          <t>No</t>
        </is>
      </c>
    </row>
    <row r="69">
      <c r="A69" s="4" t="n">
        <v>13876</v>
      </c>
      <c r="B69" s="4" t="n">
        <v>19</v>
      </c>
      <c r="C69" s="4" t="n">
        <v>2004</v>
      </c>
      <c r="D69" s="4" t="inlineStr">
        <is>
          <t>2010-04-02</t>
        </is>
      </c>
      <c r="E69" s="5" t="n">
        <v>480000</v>
      </c>
      <c r="F69" s="4" t="inlineStr">
        <is>
          <t>House</t>
        </is>
      </c>
      <c r="G69" s="4" t="inlineStr">
        <is>
          <t>Yes</t>
        </is>
      </c>
      <c r="H69" s="4" t="inlineStr">
        <is>
          <t>CRANDALL, SUZANNE E</t>
        </is>
      </c>
      <c r="I69" s="4" t="inlineStr">
        <is>
          <t>2 of 4</t>
        </is>
      </c>
      <c r="J69" s="4" t="inlineStr">
        <is>
          <t>No</t>
        </is>
      </c>
    </row>
    <row r="70">
      <c r="A70" s="4" t="n">
        <v>13876</v>
      </c>
      <c r="B70" s="4" t="n">
        <v>19</v>
      </c>
      <c r="C70" s="4" t="n">
        <v>2004</v>
      </c>
      <c r="D70" s="4" t="inlineStr">
        <is>
          <t>2020-11-30</t>
        </is>
      </c>
      <c r="E70" s="5" t="n">
        <v>578000</v>
      </c>
      <c r="F70" s="4" t="inlineStr">
        <is>
          <t>House</t>
        </is>
      </c>
      <c r="G70" s="4" t="inlineStr">
        <is>
          <t>Yes</t>
        </is>
      </c>
      <c r="H70" s="4" t="inlineStr">
        <is>
          <t>BUCK, DONALD ANDREW</t>
        </is>
      </c>
      <c r="I70" s="4" t="inlineStr">
        <is>
          <t>3 of 4</t>
        </is>
      </c>
      <c r="J70" s="4" t="inlineStr">
        <is>
          <t>No</t>
        </is>
      </c>
    </row>
    <row r="71">
      <c r="A71" s="4" t="n">
        <v>13876</v>
      </c>
      <c r="B71" s="4" t="n">
        <v>19</v>
      </c>
      <c r="C71" s="4" t="n">
        <v>2004</v>
      </c>
      <c r="D71" s="4" t="inlineStr">
        <is>
          <t>2026-04-29</t>
        </is>
      </c>
      <c r="E71" s="5" t="n">
        <v>775000</v>
      </c>
      <c r="F71" s="4" t="inlineStr">
        <is>
          <t>House</t>
        </is>
      </c>
      <c r="G71" s="4" t="inlineStr">
        <is>
          <t>Yes</t>
        </is>
      </c>
      <c r="H71" s="4" t="inlineStr">
        <is>
          <t>MASSIMINI, JOHN D</t>
        </is>
      </c>
      <c r="I71" s="4" t="inlineStr">
        <is>
          <t>4 of 4</t>
        </is>
      </c>
      <c r="J71" s="4" t="inlineStr">
        <is>
          <t>No</t>
        </is>
      </c>
    </row>
    <row r="72">
      <c r="A72" s="4" t="n">
        <v>13877</v>
      </c>
      <c r="B72" s="4" t="n">
        <v>52</v>
      </c>
      <c r="C72" s="4" t="n">
        <v>2004</v>
      </c>
      <c r="D72" s="4" t="inlineStr">
        <is>
          <t>2004-03-22</t>
        </is>
      </c>
      <c r="E72" s="5" t="n">
        <v>492400</v>
      </c>
      <c r="F72" s="4" t="inlineStr">
        <is>
          <t>House</t>
        </is>
      </c>
      <c r="G72" s="4" t="inlineStr">
        <is>
          <t>Yes</t>
        </is>
      </c>
      <c r="H72" s="4" t="inlineStr">
        <is>
          <t>JACOBSON, TIMOTHY H</t>
        </is>
      </c>
      <c r="I72" s="4" t="inlineStr">
        <is>
          <t>1 of 3</t>
        </is>
      </c>
      <c r="J72" s="4" t="inlineStr">
        <is>
          <t>No</t>
        </is>
      </c>
    </row>
    <row r="73">
      <c r="A73" s="4" t="n">
        <v>13877</v>
      </c>
      <c r="B73" s="4" t="n">
        <v>52</v>
      </c>
      <c r="C73" s="4" t="n">
        <v>2004</v>
      </c>
      <c r="D73" s="4" t="inlineStr">
        <is>
          <t>2009-12-15</t>
        </is>
      </c>
      <c r="E73" s="5" t="n">
        <v>397500</v>
      </c>
      <c r="F73" s="4" t="inlineStr">
        <is>
          <t>House</t>
        </is>
      </c>
      <c r="G73" s="4" t="inlineStr">
        <is>
          <t>Yes</t>
        </is>
      </c>
      <c r="H73" s="4" t="inlineStr">
        <is>
          <t>RAMSEY, CAROLYN</t>
        </is>
      </c>
      <c r="I73" s="4" t="inlineStr">
        <is>
          <t>2 of 3</t>
        </is>
      </c>
      <c r="J73" s="4" t="inlineStr">
        <is>
          <t>No</t>
        </is>
      </c>
    </row>
    <row r="74">
      <c r="A74" s="4" t="n">
        <v>13877</v>
      </c>
      <c r="B74" s="4" t="n">
        <v>52</v>
      </c>
      <c r="C74" s="4" t="n">
        <v>2004</v>
      </c>
      <c r="D74" s="4" t="inlineStr">
        <is>
          <t>2013-04-25</t>
        </is>
      </c>
      <c r="E74" s="5" t="n">
        <v>480000</v>
      </c>
      <c r="F74" s="4" t="inlineStr">
        <is>
          <t>House</t>
        </is>
      </c>
      <c r="G74" s="4" t="inlineStr">
        <is>
          <t>Yes</t>
        </is>
      </c>
      <c r="H74" s="4" t="inlineStr">
        <is>
          <t>WARD, JOHN H</t>
        </is>
      </c>
      <c r="I74" s="4" t="inlineStr">
        <is>
          <t>3 of 3</t>
        </is>
      </c>
      <c r="J74" s="4" t="inlineStr">
        <is>
          <t>No</t>
        </is>
      </c>
    </row>
    <row r="75">
      <c r="A75" s="4" t="n">
        <v>13880</v>
      </c>
      <c r="B75" s="4" t="n">
        <v>20</v>
      </c>
      <c r="C75" s="4" t="n">
        <v>2004</v>
      </c>
      <c r="D75" s="4" t="inlineStr">
        <is>
          <t>2004-04-08</t>
        </is>
      </c>
      <c r="E75" s="5" t="n">
        <v>87000</v>
      </c>
      <c r="F75" s="4" t="inlineStr">
        <is>
          <t>Lot</t>
        </is>
      </c>
      <c r="G75" s="4" t="inlineStr">
        <is>
          <t>Yes</t>
        </is>
      </c>
      <c r="H75" s="4" t="inlineStr">
        <is>
          <t>SEGARS, JOSEPH M</t>
        </is>
      </c>
      <c r="I75" s="4" t="inlineStr">
        <is>
          <t>1 of 1</t>
        </is>
      </c>
      <c r="J75" s="39" t="inlineStr">
        <is>
          <t>Yes</t>
        </is>
      </c>
    </row>
    <row r="76">
      <c r="A76" s="4" t="n">
        <v>13884</v>
      </c>
      <c r="B76" s="4" t="n">
        <v>21</v>
      </c>
      <c r="C76" s="4" t="n">
        <v>2005</v>
      </c>
      <c r="D76" s="4" t="inlineStr">
        <is>
          <t>2004-08-11</t>
        </is>
      </c>
      <c r="E76" s="5" t="n">
        <v>86800</v>
      </c>
      <c r="F76" s="4" t="inlineStr">
        <is>
          <t>Lot</t>
        </is>
      </c>
      <c r="G76" s="4" t="inlineStr">
        <is>
          <t>Yes</t>
        </is>
      </c>
      <c r="H76" s="4" t="inlineStr">
        <is>
          <t>PRECOPIA, GERALD J</t>
        </is>
      </c>
      <c r="I76" s="4" t="inlineStr">
        <is>
          <t>1 of 3</t>
        </is>
      </c>
      <c r="J76" s="4" t="inlineStr">
        <is>
          <t>No</t>
        </is>
      </c>
    </row>
    <row r="77">
      <c r="A77" s="4" t="n">
        <v>13884</v>
      </c>
      <c r="B77" s="4" t="n">
        <v>21</v>
      </c>
      <c r="C77" s="4" t="n">
        <v>2005</v>
      </c>
      <c r="D77" s="4" t="inlineStr">
        <is>
          <t>2015-01-30</t>
        </is>
      </c>
      <c r="E77" s="5" t="n">
        <v>475000</v>
      </c>
      <c r="F77" s="4" t="inlineStr">
        <is>
          <t>House</t>
        </is>
      </c>
      <c r="G77" s="4" t="inlineStr">
        <is>
          <t>Yes</t>
        </is>
      </c>
      <c r="H77" s="4" t="inlineStr">
        <is>
          <t>BURGESS, WILLIAM E JR</t>
        </is>
      </c>
      <c r="I77" s="4" t="inlineStr">
        <is>
          <t>2 of 3</t>
        </is>
      </c>
      <c r="J77" s="4" t="inlineStr">
        <is>
          <t>No</t>
        </is>
      </c>
    </row>
    <row r="78">
      <c r="A78" s="4" t="n">
        <v>13884</v>
      </c>
      <c r="B78" s="4" t="n">
        <v>21</v>
      </c>
      <c r="C78" s="4" t="n">
        <v>2005</v>
      </c>
      <c r="D78" s="4" t="inlineStr">
        <is>
          <t>2016-03-09</t>
        </is>
      </c>
      <c r="E78" s="5" t="n">
        <v>468000</v>
      </c>
      <c r="F78" s="4" t="inlineStr">
        <is>
          <t>House</t>
        </is>
      </c>
      <c r="G78" s="4" t="inlineStr">
        <is>
          <t>Yes</t>
        </is>
      </c>
      <c r="H78" s="4" t="inlineStr">
        <is>
          <t>KNATZ, GERARD A</t>
        </is>
      </c>
      <c r="I78" s="4" t="inlineStr">
        <is>
          <t>3 of 3</t>
        </is>
      </c>
      <c r="J78" s="4" t="inlineStr">
        <is>
          <t>No</t>
        </is>
      </c>
    </row>
    <row r="79">
      <c r="A79" s="4" t="n">
        <v>13885</v>
      </c>
      <c r="B79" s="4" t="n">
        <v>53</v>
      </c>
      <c r="C79" s="4" t="n">
        <v>2003</v>
      </c>
      <c r="D79" s="4" t="inlineStr">
        <is>
          <t>2004-06-30</t>
        </is>
      </c>
      <c r="E79" s="5" t="n">
        <v>560000</v>
      </c>
      <c r="F79" s="4" t="inlineStr">
        <is>
          <t>House</t>
        </is>
      </c>
      <c r="G79" s="4" t="inlineStr">
        <is>
          <t>Yes</t>
        </is>
      </c>
      <c r="H79" s="4" t="inlineStr">
        <is>
          <t>VIGLIOTTI, ALFONSO L</t>
        </is>
      </c>
      <c r="I79" s="4" t="inlineStr">
        <is>
          <t>1 of 2</t>
        </is>
      </c>
      <c r="J79" s="4" t="inlineStr">
        <is>
          <t>No</t>
        </is>
      </c>
    </row>
    <row r="80">
      <c r="A80" s="4" t="n">
        <v>13885</v>
      </c>
      <c r="B80" s="4" t="n">
        <v>53</v>
      </c>
      <c r="C80" s="4" t="n">
        <v>2003</v>
      </c>
      <c r="D80" s="4" t="inlineStr">
        <is>
          <t>2022-06-22</t>
        </is>
      </c>
      <c r="E80" s="5" t="n">
        <v>1125000</v>
      </c>
      <c r="F80" s="4" t="inlineStr">
        <is>
          <t>House</t>
        </is>
      </c>
      <c r="G80" s="4" t="inlineStr">
        <is>
          <t>Yes</t>
        </is>
      </c>
      <c r="H80" s="4" t="inlineStr">
        <is>
          <t>SARKISSIAN, HAGOP Y</t>
        </is>
      </c>
      <c r="I80" s="4" t="inlineStr">
        <is>
          <t>2 of 2</t>
        </is>
      </c>
      <c r="J80" s="4" t="inlineStr">
        <is>
          <t>No</t>
        </is>
      </c>
    </row>
    <row r="81">
      <c r="A81" s="4" t="n">
        <v>13888</v>
      </c>
      <c r="B81" s="4" t="n">
        <v>22</v>
      </c>
      <c r="C81" s="4" t="n">
        <v>2005</v>
      </c>
      <c r="D81" s="4" t="inlineStr">
        <is>
          <t>2005-12-27</t>
        </is>
      </c>
      <c r="E81" s="5" t="n">
        <v>608600</v>
      </c>
      <c r="F81" s="4" t="inlineStr">
        <is>
          <t>House</t>
        </is>
      </c>
      <c r="G81" s="4" t="inlineStr">
        <is>
          <t>Yes</t>
        </is>
      </c>
      <c r="H81" s="4" t="inlineStr">
        <is>
          <t>HAMMOND, KEN</t>
        </is>
      </c>
      <c r="I81" s="4" t="inlineStr">
        <is>
          <t>1 of 3</t>
        </is>
      </c>
      <c r="J81" s="4" t="inlineStr">
        <is>
          <t>No</t>
        </is>
      </c>
    </row>
    <row r="82">
      <c r="A82" s="4" t="n">
        <v>13888</v>
      </c>
      <c r="B82" s="4" t="n">
        <v>22</v>
      </c>
      <c r="C82" s="4" t="n">
        <v>2005</v>
      </c>
      <c r="D82" s="4" t="inlineStr">
        <is>
          <t>2014-09-12</t>
        </is>
      </c>
      <c r="E82" s="5" t="n">
        <v>515700</v>
      </c>
      <c r="F82" s="4" t="inlineStr">
        <is>
          <t>House</t>
        </is>
      </c>
      <c r="G82" s="38" t="inlineStr">
        <is>
          <t>No</t>
        </is>
      </c>
      <c r="H82" s="4" t="inlineStr">
        <is>
          <t>BANK OF AMERICA NA</t>
        </is>
      </c>
      <c r="I82" s="4" t="inlineStr">
        <is>
          <t>2 of 3</t>
        </is>
      </c>
      <c r="J82" s="4" t="inlineStr">
        <is>
          <t>No</t>
        </is>
      </c>
    </row>
    <row r="83">
      <c r="A83" s="4" t="n">
        <v>13888</v>
      </c>
      <c r="B83" s="4" t="n">
        <v>22</v>
      </c>
      <c r="C83" s="4" t="n">
        <v>2005</v>
      </c>
      <c r="D83" s="4" t="inlineStr">
        <is>
          <t>2014-12-12</t>
        </is>
      </c>
      <c r="E83" s="5" t="n">
        <v>380000</v>
      </c>
      <c r="F83" s="4" t="inlineStr">
        <is>
          <t>House</t>
        </is>
      </c>
      <c r="G83" s="38" t="inlineStr">
        <is>
          <t>No</t>
        </is>
      </c>
      <c r="H83" s="4" t="inlineStr">
        <is>
          <t>BENCIE, JENNIFER</t>
        </is>
      </c>
      <c r="I83" s="4" t="inlineStr">
        <is>
          <t>3 of 3</t>
        </is>
      </c>
      <c r="J83" s="4" t="inlineStr">
        <is>
          <t>No</t>
        </is>
      </c>
    </row>
    <row r="84">
      <c r="A84" s="4" t="n">
        <v>13892</v>
      </c>
      <c r="B84" s="4" t="n">
        <v>23</v>
      </c>
      <c r="C84" s="4" t="n">
        <v>2003</v>
      </c>
      <c r="D84" s="4" t="inlineStr">
        <is>
          <t>2004-06-01</t>
        </is>
      </c>
      <c r="E84" s="5" t="n">
        <v>491300</v>
      </c>
      <c r="F84" s="4" t="inlineStr">
        <is>
          <t>House</t>
        </is>
      </c>
      <c r="G84" s="4" t="inlineStr">
        <is>
          <t>Yes</t>
        </is>
      </c>
      <c r="H84" s="4" t="inlineStr">
        <is>
          <t>ALLBEE, RONALD A</t>
        </is>
      </c>
      <c r="I84" s="4" t="inlineStr">
        <is>
          <t>1 of 3</t>
        </is>
      </c>
      <c r="J84" s="4" t="inlineStr">
        <is>
          <t>No</t>
        </is>
      </c>
    </row>
    <row r="85">
      <c r="A85" s="4" t="n">
        <v>13892</v>
      </c>
      <c r="B85" s="4" t="n">
        <v>23</v>
      </c>
      <c r="C85" s="4" t="n">
        <v>2003</v>
      </c>
      <c r="D85" s="4" t="inlineStr">
        <is>
          <t>2005-08-23</t>
        </is>
      </c>
      <c r="E85" s="5" t="n">
        <v>630000</v>
      </c>
      <c r="F85" s="4" t="inlineStr">
        <is>
          <t>House</t>
        </is>
      </c>
      <c r="G85" s="4" t="inlineStr">
        <is>
          <t>Yes</t>
        </is>
      </c>
      <c r="H85" s="4" t="inlineStr">
        <is>
          <t>HART, JEFFREY B</t>
        </is>
      </c>
      <c r="I85" s="4" t="inlineStr">
        <is>
          <t>2 of 3</t>
        </is>
      </c>
      <c r="J85" s="4" t="inlineStr">
        <is>
          <t>No</t>
        </is>
      </c>
    </row>
    <row r="86">
      <c r="A86" s="4" t="n">
        <v>13892</v>
      </c>
      <c r="B86" s="4" t="n">
        <v>23</v>
      </c>
      <c r="C86" s="4" t="n">
        <v>2003</v>
      </c>
      <c r="D86" s="4" t="inlineStr">
        <is>
          <t>2021-09-01</t>
        </is>
      </c>
      <c r="E86" s="5" t="n">
        <v>710000</v>
      </c>
      <c r="F86" s="4" t="inlineStr">
        <is>
          <t>House</t>
        </is>
      </c>
      <c r="G86" s="4" t="inlineStr">
        <is>
          <t>Yes</t>
        </is>
      </c>
      <c r="H86" s="4" t="inlineStr">
        <is>
          <t>BERRY, BRIAN K</t>
        </is>
      </c>
      <c r="I86" s="4" t="inlineStr">
        <is>
          <t>3 of 3</t>
        </is>
      </c>
      <c r="J86" s="4" t="inlineStr">
        <is>
          <t>No</t>
        </is>
      </c>
    </row>
    <row r="87">
      <c r="A87" s="4" t="n">
        <v>13893</v>
      </c>
      <c r="B87" s="4" t="n">
        <v>54</v>
      </c>
      <c r="C87" s="4" t="n">
        <v>2004</v>
      </c>
      <c r="D87" s="4" t="inlineStr">
        <is>
          <t>2003-07-28</t>
        </is>
      </c>
      <c r="E87" s="5" t="n">
        <v>122000</v>
      </c>
      <c r="F87" s="4" t="inlineStr">
        <is>
          <t>Lot</t>
        </is>
      </c>
      <c r="G87" s="4" t="inlineStr">
        <is>
          <t>Yes</t>
        </is>
      </c>
      <c r="H87" s="4" t="inlineStr">
        <is>
          <t>MUNCH, ROBERT J</t>
        </is>
      </c>
      <c r="I87" s="4" t="inlineStr">
        <is>
          <t>1 of 1</t>
        </is>
      </c>
      <c r="J87" s="39" t="inlineStr">
        <is>
          <t>Yes</t>
        </is>
      </c>
    </row>
    <row r="88">
      <c r="A88" s="4" t="n">
        <v>13896</v>
      </c>
      <c r="B88" s="4" t="n">
        <v>24</v>
      </c>
      <c r="C88" s="4" t="n">
        <v>2005</v>
      </c>
      <c r="D88" s="4" t="inlineStr">
        <is>
          <t>2004-09-21</t>
        </is>
      </c>
      <c r="E88" s="5" t="n">
        <v>80000</v>
      </c>
      <c r="F88" s="4" t="inlineStr">
        <is>
          <t>Lot</t>
        </is>
      </c>
      <c r="G88" s="4" t="inlineStr">
        <is>
          <t>Yes</t>
        </is>
      </c>
      <c r="H88" s="4" t="inlineStr">
        <is>
          <t>PAOLINO, MICHAEL A</t>
        </is>
      </c>
      <c r="I88" s="4" t="inlineStr">
        <is>
          <t>1 of 2</t>
        </is>
      </c>
      <c r="J88" s="4" t="inlineStr">
        <is>
          <t>No</t>
        </is>
      </c>
    </row>
    <row r="89">
      <c r="A89" s="4" t="n">
        <v>13896</v>
      </c>
      <c r="B89" s="4" t="n">
        <v>24</v>
      </c>
      <c r="C89" s="4" t="n">
        <v>2005</v>
      </c>
      <c r="D89" s="4" t="inlineStr">
        <is>
          <t>2020-03-05</t>
        </is>
      </c>
      <c r="E89" s="5" t="n">
        <v>385000</v>
      </c>
      <c r="F89" s="4" t="inlineStr">
        <is>
          <t>House</t>
        </is>
      </c>
      <c r="G89" s="4" t="inlineStr">
        <is>
          <t>Yes</t>
        </is>
      </c>
      <c r="H89" s="4" t="inlineStr">
        <is>
          <t>WALTER, TYLER J</t>
        </is>
      </c>
      <c r="I89" s="4" t="inlineStr">
        <is>
          <t>2 of 2</t>
        </is>
      </c>
      <c r="J89" s="4" t="inlineStr">
        <is>
          <t>No</t>
        </is>
      </c>
    </row>
    <row r="90">
      <c r="A90" s="4" t="n">
        <v>13897</v>
      </c>
      <c r="B90" s="4" t="n">
        <v>55</v>
      </c>
      <c r="C90" s="4" t="n">
        <v>2004</v>
      </c>
      <c r="D90" s="4" t="inlineStr">
        <is>
          <t>2004-02-26</t>
        </is>
      </c>
      <c r="E90" s="5" t="n">
        <v>121000</v>
      </c>
      <c r="F90" s="4" t="inlineStr">
        <is>
          <t>Lot</t>
        </is>
      </c>
      <c r="G90" s="4" t="inlineStr">
        <is>
          <t>Yes</t>
        </is>
      </c>
      <c r="H90" s="4" t="inlineStr">
        <is>
          <t>DECKER, KENNETH E</t>
        </is>
      </c>
      <c r="I90" s="4" t="inlineStr">
        <is>
          <t>1 of 2</t>
        </is>
      </c>
      <c r="J90" s="4" t="inlineStr">
        <is>
          <t>No</t>
        </is>
      </c>
    </row>
    <row r="91">
      <c r="A91" s="4" t="n">
        <v>13897</v>
      </c>
      <c r="B91" s="4" t="n">
        <v>55</v>
      </c>
      <c r="C91" s="4" t="n">
        <v>2004</v>
      </c>
      <c r="D91" s="4" t="inlineStr">
        <is>
          <t>2023-08-07</t>
        </is>
      </c>
      <c r="E91" s="5" t="n">
        <v>955000</v>
      </c>
      <c r="F91" s="4" t="inlineStr">
        <is>
          <t>House</t>
        </is>
      </c>
      <c r="G91" s="4" t="inlineStr">
        <is>
          <t>Yes</t>
        </is>
      </c>
      <c r="H91" s="4" t="inlineStr">
        <is>
          <t>MOORE, BARBARA BETH</t>
        </is>
      </c>
      <c r="I91" s="4" t="inlineStr">
        <is>
          <t>2 of 2</t>
        </is>
      </c>
      <c r="J91" s="4" t="inlineStr">
        <is>
          <t>No</t>
        </is>
      </c>
    </row>
    <row r="92">
      <c r="A92" s="4" t="n">
        <v>13906</v>
      </c>
      <c r="B92" s="4" t="n">
        <v>25</v>
      </c>
      <c r="C92" s="4" t="n">
        <v>2005</v>
      </c>
      <c r="D92" s="4" t="inlineStr">
        <is>
          <t>2004-10-20</t>
        </is>
      </c>
      <c r="E92" s="5" t="n">
        <v>90000</v>
      </c>
      <c r="F92" s="4" t="inlineStr">
        <is>
          <t>Lot</t>
        </is>
      </c>
      <c r="G92" s="4" t="inlineStr">
        <is>
          <t>Yes</t>
        </is>
      </c>
      <c r="H92" s="4" t="inlineStr">
        <is>
          <t>SIEGEL, LOUIS</t>
        </is>
      </c>
      <c r="I92" s="4" t="inlineStr">
        <is>
          <t>1 of 4</t>
        </is>
      </c>
      <c r="J92" s="4" t="inlineStr">
        <is>
          <t>No</t>
        </is>
      </c>
    </row>
    <row r="93">
      <c r="A93" s="4" t="n">
        <v>13906</v>
      </c>
      <c r="B93" s="4" t="n">
        <v>25</v>
      </c>
      <c r="C93" s="4" t="n">
        <v>2005</v>
      </c>
      <c r="D93" s="4" t="inlineStr">
        <is>
          <t>2017-05-11</t>
        </is>
      </c>
      <c r="E93" s="5" t="n">
        <v>360000</v>
      </c>
      <c r="F93" s="4" t="inlineStr">
        <is>
          <t>House</t>
        </is>
      </c>
      <c r="G93" s="4" t="inlineStr">
        <is>
          <t>Yes</t>
        </is>
      </c>
      <c r="H93" s="4" t="inlineStr">
        <is>
          <t>SOPKO, GEORGE A</t>
        </is>
      </c>
      <c r="I93" s="4" t="inlineStr">
        <is>
          <t>2 of 4</t>
        </is>
      </c>
      <c r="J93" s="4" t="inlineStr">
        <is>
          <t>No</t>
        </is>
      </c>
    </row>
    <row r="94">
      <c r="A94" s="4" t="n">
        <v>13906</v>
      </c>
      <c r="B94" s="4" t="n">
        <v>25</v>
      </c>
      <c r="C94" s="4" t="n">
        <v>2005</v>
      </c>
      <c r="D94" s="4" t="inlineStr">
        <is>
          <t>2018-07-06</t>
        </is>
      </c>
      <c r="E94" s="5" t="n">
        <v>385000</v>
      </c>
      <c r="F94" s="4" t="inlineStr">
        <is>
          <t>House</t>
        </is>
      </c>
      <c r="G94" s="4" t="inlineStr">
        <is>
          <t>Yes</t>
        </is>
      </c>
      <c r="H94" s="4" t="inlineStr">
        <is>
          <t>MILLS, FLORIZEL</t>
        </is>
      </c>
      <c r="I94" s="4" t="inlineStr">
        <is>
          <t>3 of 4</t>
        </is>
      </c>
      <c r="J94" s="4" t="inlineStr">
        <is>
          <t>No</t>
        </is>
      </c>
    </row>
    <row r="95">
      <c r="A95" s="4" t="n">
        <v>13906</v>
      </c>
      <c r="B95" s="4" t="n">
        <v>25</v>
      </c>
      <c r="C95" s="4" t="n">
        <v>2005</v>
      </c>
      <c r="D95" s="4" t="inlineStr">
        <is>
          <t>2025-03-31</t>
        </is>
      </c>
      <c r="E95" s="5" t="n">
        <v>789000</v>
      </c>
      <c r="F95" s="4" t="inlineStr">
        <is>
          <t>House</t>
        </is>
      </c>
      <c r="G95" s="4" t="inlineStr">
        <is>
          <t>Yes</t>
        </is>
      </c>
      <c r="H95" s="4" t="inlineStr">
        <is>
          <t>MAIER, GREGORY T</t>
        </is>
      </c>
      <c r="I95" s="4" t="inlineStr">
        <is>
          <t>4 of 4</t>
        </is>
      </c>
      <c r="J95" s="4" t="inlineStr">
        <is>
          <t>No</t>
        </is>
      </c>
    </row>
    <row r="96">
      <c r="A96" s="4" t="n">
        <v>13907</v>
      </c>
      <c r="B96" s="4" t="n">
        <v>56</v>
      </c>
      <c r="C96" s="4" t="n">
        <v>2005</v>
      </c>
      <c r="D96" s="4" t="inlineStr">
        <is>
          <t>2004-07-02</t>
        </is>
      </c>
      <c r="E96" s="5" t="n">
        <v>126000</v>
      </c>
      <c r="F96" s="4" t="inlineStr">
        <is>
          <t>Lot</t>
        </is>
      </c>
      <c r="G96" s="4" t="inlineStr">
        <is>
          <t>Yes</t>
        </is>
      </c>
      <c r="H96" s="4" t="inlineStr">
        <is>
          <t>COSTAS, JAMES A</t>
        </is>
      </c>
      <c r="I96" s="4" t="inlineStr">
        <is>
          <t>1 of 1</t>
        </is>
      </c>
      <c r="J96" s="39" t="inlineStr">
        <is>
          <t>Yes</t>
        </is>
      </c>
    </row>
    <row r="97">
      <c r="A97" s="4" t="n">
        <v>13910</v>
      </c>
      <c r="B97" s="4" t="n">
        <v>26</v>
      </c>
      <c r="C97" s="4" t="n">
        <v>2005</v>
      </c>
      <c r="D97" s="4" t="inlineStr">
        <is>
          <t>2005-10-28</t>
        </is>
      </c>
      <c r="E97" s="5" t="n">
        <v>515700</v>
      </c>
      <c r="F97" s="4" t="inlineStr">
        <is>
          <t>House</t>
        </is>
      </c>
      <c r="G97" s="4" t="inlineStr">
        <is>
          <t>Yes</t>
        </is>
      </c>
      <c r="H97" s="4" t="inlineStr">
        <is>
          <t>CAMPERLENGO, HENRY A</t>
        </is>
      </c>
      <c r="I97" s="4" t="inlineStr">
        <is>
          <t>1 of 3</t>
        </is>
      </c>
      <c r="J97" s="4" t="inlineStr">
        <is>
          <t>No</t>
        </is>
      </c>
    </row>
    <row r="98">
      <c r="A98" s="4" t="n">
        <v>13910</v>
      </c>
      <c r="B98" s="4" t="n">
        <v>26</v>
      </c>
      <c r="C98" s="4" t="n">
        <v>2005</v>
      </c>
      <c r="D98" s="4" t="inlineStr">
        <is>
          <t>2014-06-27</t>
        </is>
      </c>
      <c r="E98" s="5" t="n">
        <v>370000</v>
      </c>
      <c r="F98" s="4" t="inlineStr">
        <is>
          <t>House</t>
        </is>
      </c>
      <c r="G98" s="4" t="inlineStr">
        <is>
          <t>Yes</t>
        </is>
      </c>
      <c r="H98" s="4" t="inlineStr">
        <is>
          <t>FLOWERS, PHYLLIS</t>
        </is>
      </c>
      <c r="I98" s="4" t="inlineStr">
        <is>
          <t>2 of 3</t>
        </is>
      </c>
      <c r="J98" s="4" t="inlineStr">
        <is>
          <t>No</t>
        </is>
      </c>
    </row>
    <row r="99">
      <c r="A99" s="4" t="n">
        <v>13910</v>
      </c>
      <c r="B99" s="4" t="n">
        <v>26</v>
      </c>
      <c r="C99" s="4" t="n">
        <v>2005</v>
      </c>
      <c r="D99" s="4" t="inlineStr">
        <is>
          <t>2017-03-20</t>
        </is>
      </c>
      <c r="E99" s="5" t="n">
        <v>395000</v>
      </c>
      <c r="F99" s="4" t="inlineStr">
        <is>
          <t>House</t>
        </is>
      </c>
      <c r="G99" s="4" t="inlineStr">
        <is>
          <t>Yes</t>
        </is>
      </c>
      <c r="H99" s="4" t="inlineStr">
        <is>
          <t>MAGGI-THOMAS, DEBRA J</t>
        </is>
      </c>
      <c r="I99" s="4" t="inlineStr">
        <is>
          <t>3 of 3</t>
        </is>
      </c>
      <c r="J99" s="4" t="inlineStr">
        <is>
          <t>No</t>
        </is>
      </c>
    </row>
    <row r="100">
      <c r="A100" s="4" t="n">
        <v>13911</v>
      </c>
      <c r="B100" s="4" t="n">
        <v>57</v>
      </c>
      <c r="C100" s="4" t="n">
        <v>2004</v>
      </c>
      <c r="D100" s="4" t="inlineStr">
        <is>
          <t>2004-01-06</t>
        </is>
      </c>
      <c r="E100" s="5" t="n">
        <v>93000</v>
      </c>
      <c r="F100" s="4" t="inlineStr">
        <is>
          <t>Lot</t>
        </is>
      </c>
      <c r="G100" s="4" t="inlineStr">
        <is>
          <t>Yes</t>
        </is>
      </c>
      <c r="H100" s="4" t="inlineStr">
        <is>
          <t>SAK, DONALD J</t>
        </is>
      </c>
      <c r="I100" s="4" t="inlineStr">
        <is>
          <t>1 of 1</t>
        </is>
      </c>
      <c r="J100" s="39" t="inlineStr">
        <is>
          <t>Yes</t>
        </is>
      </c>
    </row>
    <row r="101">
      <c r="A101" s="4" t="n">
        <v>13914</v>
      </c>
      <c r="B101" s="4" t="n">
        <v>27</v>
      </c>
      <c r="C101" s="4" t="n">
        <v>2005</v>
      </c>
      <c r="D101" s="4" t="inlineStr">
        <is>
          <t>2004-04-08</t>
        </is>
      </c>
      <c r="E101" s="5" t="n">
        <v>80000</v>
      </c>
      <c r="F101" s="4" t="inlineStr">
        <is>
          <t>Lot</t>
        </is>
      </c>
      <c r="G101" s="4" t="inlineStr">
        <is>
          <t>Yes</t>
        </is>
      </c>
      <c r="H101" s="4" t="inlineStr">
        <is>
          <t>MALKO, DONALD M</t>
        </is>
      </c>
      <c r="I101" s="4" t="inlineStr">
        <is>
          <t>1 of 2</t>
        </is>
      </c>
      <c r="J101" s="4" t="inlineStr">
        <is>
          <t>No</t>
        </is>
      </c>
    </row>
    <row r="102">
      <c r="A102" s="4" t="n">
        <v>13914</v>
      </c>
      <c r="B102" s="4" t="n">
        <v>27</v>
      </c>
      <c r="C102" s="4" t="n">
        <v>2005</v>
      </c>
      <c r="D102" s="4" t="inlineStr">
        <is>
          <t>2019-10-11</t>
        </is>
      </c>
      <c r="E102" s="5" t="n">
        <v>543000</v>
      </c>
      <c r="F102" s="4" t="inlineStr">
        <is>
          <t>House</t>
        </is>
      </c>
      <c r="G102" s="4" t="inlineStr">
        <is>
          <t>Yes</t>
        </is>
      </c>
      <c r="H102" s="4" t="inlineStr">
        <is>
          <t>BOISVERT, JOSHUA M</t>
        </is>
      </c>
      <c r="I102" s="4" t="inlineStr">
        <is>
          <t>2 of 2</t>
        </is>
      </c>
      <c r="J102" s="4" t="inlineStr">
        <is>
          <t>No</t>
        </is>
      </c>
    </row>
    <row r="103">
      <c r="A103" s="4" t="n">
        <v>13918</v>
      </c>
      <c r="B103" s="4" t="n">
        <v>28</v>
      </c>
      <c r="C103" s="4" t="n">
        <v>2004</v>
      </c>
      <c r="D103" s="4" t="inlineStr">
        <is>
          <t>2003-11-24</t>
        </is>
      </c>
      <c r="E103" s="5" t="n">
        <v>80000</v>
      </c>
      <c r="F103" s="4" t="inlineStr">
        <is>
          <t>Lot</t>
        </is>
      </c>
      <c r="G103" s="4" t="inlineStr">
        <is>
          <t>Yes</t>
        </is>
      </c>
      <c r="H103" s="4" t="inlineStr">
        <is>
          <t>CAPPIELLO, MICHAEL A</t>
        </is>
      </c>
      <c r="I103" s="4" t="inlineStr">
        <is>
          <t>1 of 3</t>
        </is>
      </c>
      <c r="J103" s="4" t="inlineStr">
        <is>
          <t>No</t>
        </is>
      </c>
    </row>
    <row r="104">
      <c r="A104" s="4" t="n">
        <v>13918</v>
      </c>
      <c r="B104" s="4" t="n">
        <v>28</v>
      </c>
      <c r="C104" s="4" t="n">
        <v>2004</v>
      </c>
      <c r="D104" s="4" t="inlineStr">
        <is>
          <t>2011-05-13</t>
        </is>
      </c>
      <c r="E104" s="5" t="n">
        <v>375000</v>
      </c>
      <c r="F104" s="4" t="inlineStr">
        <is>
          <t>House</t>
        </is>
      </c>
      <c r="G104" s="4" t="inlineStr">
        <is>
          <t>Yes</t>
        </is>
      </c>
      <c r="H104" s="4" t="inlineStr">
        <is>
          <t>ENANDER, ROBERT</t>
        </is>
      </c>
      <c r="I104" s="4" t="inlineStr">
        <is>
          <t>2 of 3</t>
        </is>
      </c>
      <c r="J104" s="4" t="inlineStr">
        <is>
          <t>No</t>
        </is>
      </c>
    </row>
    <row r="105">
      <c r="A105" s="4" t="n">
        <v>13918</v>
      </c>
      <c r="B105" s="4" t="n">
        <v>28</v>
      </c>
      <c r="C105" s="4" t="n">
        <v>2004</v>
      </c>
      <c r="D105" s="4" t="inlineStr">
        <is>
          <t>2016-07-19</t>
        </is>
      </c>
      <c r="E105" s="5" t="n">
        <v>470000</v>
      </c>
      <c r="F105" s="4" t="inlineStr">
        <is>
          <t>House</t>
        </is>
      </c>
      <c r="G105" s="38" t="inlineStr">
        <is>
          <t>No</t>
        </is>
      </c>
      <c r="H105" s="4" t="inlineStr">
        <is>
          <t>JERNIGAN, LEON</t>
        </is>
      </c>
      <c r="I105" s="4" t="inlineStr">
        <is>
          <t>3 of 3</t>
        </is>
      </c>
      <c r="J105" s="4" t="inlineStr">
        <is>
          <t>No</t>
        </is>
      </c>
    </row>
    <row r="106">
      <c r="A106" s="4" t="n">
        <v>13922</v>
      </c>
      <c r="B106" s="4" t="n">
        <v>29</v>
      </c>
      <c r="C106" s="4" t="n">
        <v>2004</v>
      </c>
      <c r="D106" s="4" t="inlineStr">
        <is>
          <t>2003-10-28</t>
        </is>
      </c>
      <c r="E106" s="5" t="n">
        <v>80000</v>
      </c>
      <c r="F106" s="4" t="inlineStr">
        <is>
          <t>Lot</t>
        </is>
      </c>
      <c r="G106" s="4" t="inlineStr">
        <is>
          <t>Yes</t>
        </is>
      </c>
      <c r="H106" s="4" t="inlineStr">
        <is>
          <t>KEIDERLING, BLAIR D</t>
        </is>
      </c>
      <c r="I106" s="4" t="inlineStr">
        <is>
          <t>1 of 2</t>
        </is>
      </c>
      <c r="J106" s="4" t="inlineStr">
        <is>
          <t>No</t>
        </is>
      </c>
    </row>
    <row r="107">
      <c r="A107" s="4" t="n">
        <v>13922</v>
      </c>
      <c r="B107" s="4" t="n">
        <v>29</v>
      </c>
      <c r="C107" s="4" t="n">
        <v>2004</v>
      </c>
      <c r="D107" s="4" t="inlineStr">
        <is>
          <t>2016-04-27</t>
        </is>
      </c>
      <c r="E107" s="5" t="n">
        <v>420000</v>
      </c>
      <c r="F107" s="4" t="inlineStr">
        <is>
          <t>House</t>
        </is>
      </c>
      <c r="G107" s="4" t="inlineStr">
        <is>
          <t>Yes</t>
        </is>
      </c>
      <c r="H107" s="4" t="inlineStr">
        <is>
          <t>DAMORE, PAUL M</t>
        </is>
      </c>
      <c r="I107" s="4" t="inlineStr">
        <is>
          <t>2 of 2</t>
        </is>
      </c>
      <c r="J107" s="4" t="inlineStr">
        <is>
          <t>No</t>
        </is>
      </c>
    </row>
    <row r="108">
      <c r="A108" s="4" t="n">
        <v>13926</v>
      </c>
      <c r="B108" s="4" t="n">
        <v>30</v>
      </c>
      <c r="C108" s="4" t="n">
        <v>2004</v>
      </c>
      <c r="D108" s="4" t="inlineStr">
        <is>
          <t>2003-06-23</t>
        </is>
      </c>
      <c r="E108" s="5" t="n">
        <v>90000</v>
      </c>
      <c r="F108" s="4" t="inlineStr">
        <is>
          <t>Lot</t>
        </is>
      </c>
      <c r="G108" s="4" t="inlineStr">
        <is>
          <t>Yes</t>
        </is>
      </c>
      <c r="H108" s="4" t="inlineStr">
        <is>
          <t>BRUNDAGE, KEVIN E</t>
        </is>
      </c>
      <c r="I108" s="4" t="inlineStr">
        <is>
          <t>1 of 5</t>
        </is>
      </c>
      <c r="J108" s="4" t="inlineStr">
        <is>
          <t>No</t>
        </is>
      </c>
    </row>
    <row r="109">
      <c r="A109" s="4" t="n">
        <v>13926</v>
      </c>
      <c r="B109" s="4" t="n">
        <v>30</v>
      </c>
      <c r="C109" s="4" t="n">
        <v>2004</v>
      </c>
      <c r="D109" s="4" t="inlineStr">
        <is>
          <t>2006-04-21</t>
        </is>
      </c>
      <c r="E109" s="5" t="n">
        <v>650000</v>
      </c>
      <c r="F109" s="4" t="inlineStr">
        <is>
          <t>House</t>
        </is>
      </c>
      <c r="G109" s="4" t="inlineStr">
        <is>
          <t>Yes</t>
        </is>
      </c>
      <c r="H109" s="4" t="inlineStr">
        <is>
          <t>SCUTT, PAMELA O</t>
        </is>
      </c>
      <c r="I109" s="4" t="inlineStr">
        <is>
          <t>2 of 5</t>
        </is>
      </c>
      <c r="J109" s="4" t="inlineStr">
        <is>
          <t>No</t>
        </is>
      </c>
    </row>
    <row r="110">
      <c r="A110" s="4" t="n">
        <v>13926</v>
      </c>
      <c r="B110" s="4" t="n">
        <v>30</v>
      </c>
      <c r="C110" s="4" t="n">
        <v>2004</v>
      </c>
      <c r="D110" s="4" t="inlineStr">
        <is>
          <t>2009-01-17</t>
        </is>
      </c>
      <c r="E110" s="5" t="n">
        <v>376000</v>
      </c>
      <c r="F110" s="4" t="inlineStr">
        <is>
          <t>House</t>
        </is>
      </c>
      <c r="G110" s="4" t="inlineStr">
        <is>
          <t>Yes</t>
        </is>
      </c>
      <c r="H110" s="4" t="inlineStr">
        <is>
          <t>O'BRIEN, VINCENT J</t>
        </is>
      </c>
      <c r="I110" s="4" t="inlineStr">
        <is>
          <t>3 of 5</t>
        </is>
      </c>
      <c r="J110" s="4" t="inlineStr">
        <is>
          <t>No</t>
        </is>
      </c>
    </row>
    <row r="111">
      <c r="A111" s="4" t="n">
        <v>13926</v>
      </c>
      <c r="B111" s="4" t="n">
        <v>30</v>
      </c>
      <c r="C111" s="4" t="n">
        <v>2004</v>
      </c>
      <c r="D111" s="4" t="inlineStr">
        <is>
          <t>2009-10-16</t>
        </is>
      </c>
      <c r="E111" s="5" t="n">
        <v>375000</v>
      </c>
      <c r="F111" s="4" t="inlineStr">
        <is>
          <t>House</t>
        </is>
      </c>
      <c r="G111" s="4" t="inlineStr">
        <is>
          <t>Yes</t>
        </is>
      </c>
      <c r="H111" s="4" t="inlineStr">
        <is>
          <t>MORIN, DAVID</t>
        </is>
      </c>
      <c r="I111" s="4" t="inlineStr">
        <is>
          <t>4 of 5</t>
        </is>
      </c>
      <c r="J111" s="4" t="inlineStr">
        <is>
          <t>No</t>
        </is>
      </c>
    </row>
    <row r="112">
      <c r="A112" s="4" t="n">
        <v>13926</v>
      </c>
      <c r="B112" s="4" t="n">
        <v>30</v>
      </c>
      <c r="C112" s="4" t="n">
        <v>2004</v>
      </c>
      <c r="D112" s="4" t="inlineStr">
        <is>
          <t>2014-09-24</t>
        </is>
      </c>
      <c r="E112" s="5" t="n">
        <v>430500</v>
      </c>
      <c r="F112" s="4" t="inlineStr">
        <is>
          <t>House</t>
        </is>
      </c>
      <c r="G112" s="4" t="inlineStr">
        <is>
          <t>Yes</t>
        </is>
      </c>
      <c r="H112" s="4" t="inlineStr">
        <is>
          <t>BAILEY, JOHN G</t>
        </is>
      </c>
      <c r="I112" s="4" t="inlineStr">
        <is>
          <t>5 of 5</t>
        </is>
      </c>
      <c r="J112" s="4" t="inlineStr">
        <is>
          <t>No</t>
        </is>
      </c>
    </row>
    <row r="113">
      <c r="A113" s="4" t="n">
        <v>13930</v>
      </c>
      <c r="B113" s="4" t="n">
        <v>31</v>
      </c>
      <c r="C113" s="4" t="n">
        <v>2005</v>
      </c>
      <c r="D113" s="4" t="inlineStr">
        <is>
          <t>2005-06-16</t>
        </is>
      </c>
      <c r="E113" s="5" t="n">
        <v>714600</v>
      </c>
      <c r="F113" s="4" t="inlineStr">
        <is>
          <t>House</t>
        </is>
      </c>
      <c r="G113" s="4" t="inlineStr">
        <is>
          <t>Yes</t>
        </is>
      </c>
      <c r="H113" s="4" t="inlineStr">
        <is>
          <t>BUETI, SERAFINO</t>
        </is>
      </c>
      <c r="I113" s="4" t="inlineStr">
        <is>
          <t>1 of 2</t>
        </is>
      </c>
      <c r="J113" s="4" t="inlineStr">
        <is>
          <t>No</t>
        </is>
      </c>
    </row>
    <row r="114">
      <c r="A114" s="4" t="n">
        <v>13930</v>
      </c>
      <c r="B114" s="4" t="n">
        <v>31</v>
      </c>
      <c r="C114" s="4" t="n">
        <v>2005</v>
      </c>
      <c r="D114" s="4" t="inlineStr">
        <is>
          <t>2008-04-16</t>
        </is>
      </c>
      <c r="E114" s="5" t="n">
        <v>630000</v>
      </c>
      <c r="F114" s="4" t="inlineStr">
        <is>
          <t>House</t>
        </is>
      </c>
      <c r="G114" s="4" t="inlineStr">
        <is>
          <t>Yes</t>
        </is>
      </c>
      <c r="H114" s="4" t="inlineStr">
        <is>
          <t>WRIGHT, RAYMOND K JR</t>
        </is>
      </c>
      <c r="I114" s="4" t="inlineStr">
        <is>
          <t>2 of 2</t>
        </is>
      </c>
      <c r="J114" s="4" t="inlineStr">
        <is>
          <t>No</t>
        </is>
      </c>
    </row>
    <row r="115">
      <c r="A115" s="4" t="n">
        <v>13931</v>
      </c>
      <c r="B115" s="4" t="n">
        <v>58</v>
      </c>
      <c r="C115" s="4" t="n">
        <v>2004</v>
      </c>
      <c r="D115" s="4" t="inlineStr">
        <is>
          <t>2003-10-06</t>
        </is>
      </c>
      <c r="E115" s="5" t="n">
        <v>91000</v>
      </c>
      <c r="F115" s="4" t="inlineStr">
        <is>
          <t>Lot</t>
        </is>
      </c>
      <c r="G115" s="4" t="inlineStr">
        <is>
          <t>Yes</t>
        </is>
      </c>
      <c r="H115" s="4" t="inlineStr">
        <is>
          <t>SEDIGH, MASSOUD</t>
        </is>
      </c>
      <c r="I115" s="4" t="inlineStr">
        <is>
          <t>1 of 3</t>
        </is>
      </c>
      <c r="J115" s="4" t="inlineStr">
        <is>
          <t>No</t>
        </is>
      </c>
    </row>
    <row r="116">
      <c r="A116" s="4" t="n">
        <v>13931</v>
      </c>
      <c r="B116" s="4" t="n">
        <v>58</v>
      </c>
      <c r="C116" s="4" t="n">
        <v>2004</v>
      </c>
      <c r="D116" s="4" t="inlineStr">
        <is>
          <t>2021-10-18</t>
        </is>
      </c>
      <c r="E116" s="5" t="n">
        <v>785000</v>
      </c>
      <c r="F116" s="4" t="inlineStr">
        <is>
          <t>House</t>
        </is>
      </c>
      <c r="G116" s="4" t="inlineStr">
        <is>
          <t>Yes</t>
        </is>
      </c>
      <c r="H116" s="4" t="inlineStr">
        <is>
          <t>LAGUNA PROPERTIES LLC</t>
        </is>
      </c>
      <c r="I116" s="4" t="inlineStr">
        <is>
          <t>2 of 3</t>
        </is>
      </c>
      <c r="J116" s="4" t="inlineStr">
        <is>
          <t>No</t>
        </is>
      </c>
    </row>
    <row r="117">
      <c r="A117" s="4" t="n">
        <v>13931</v>
      </c>
      <c r="B117" s="4" t="n">
        <v>58</v>
      </c>
      <c r="C117" s="4" t="n">
        <v>2004</v>
      </c>
      <c r="D117" s="4" t="inlineStr">
        <is>
          <t>2022-08-17</t>
        </is>
      </c>
      <c r="E117" s="5" t="n">
        <v>1527100</v>
      </c>
      <c r="F117" s="4" t="inlineStr">
        <is>
          <t>House</t>
        </is>
      </c>
      <c r="G117" s="4" t="inlineStr">
        <is>
          <t>Yes</t>
        </is>
      </c>
      <c r="H117" s="4" t="inlineStr">
        <is>
          <t>MASSA, LAURENT</t>
        </is>
      </c>
      <c r="I117" s="4" t="inlineStr">
        <is>
          <t>3 of 3</t>
        </is>
      </c>
      <c r="J117" s="4" t="inlineStr">
        <is>
          <t>No</t>
        </is>
      </c>
    </row>
    <row r="118">
      <c r="A118" s="4" t="n">
        <v>13934</v>
      </c>
      <c r="B118" s="4" t="n">
        <v>32</v>
      </c>
      <c r="C118" s="4" t="n">
        <v>2004</v>
      </c>
      <c r="D118" s="4" t="inlineStr">
        <is>
          <t>2004-03-17</t>
        </is>
      </c>
      <c r="E118" s="5" t="n">
        <v>180000</v>
      </c>
      <c r="F118" s="4" t="inlineStr">
        <is>
          <t>Lot</t>
        </is>
      </c>
      <c r="G118" s="4" t="inlineStr">
        <is>
          <t>Yes</t>
        </is>
      </c>
      <c r="H118" s="4" t="inlineStr">
        <is>
          <t>MARCUS, MICHAEL P</t>
        </is>
      </c>
      <c r="I118" s="4" t="inlineStr">
        <is>
          <t>1 of 4</t>
        </is>
      </c>
      <c r="J118" s="4" t="inlineStr">
        <is>
          <t>No</t>
        </is>
      </c>
    </row>
    <row r="119">
      <c r="A119" s="4" t="n">
        <v>13934</v>
      </c>
      <c r="B119" s="4" t="n">
        <v>32</v>
      </c>
      <c r="C119" s="4" t="n">
        <v>2004</v>
      </c>
      <c r="D119" s="4" t="inlineStr">
        <is>
          <t>2010-09-30</t>
        </is>
      </c>
      <c r="E119" s="5" t="n">
        <v>500000</v>
      </c>
      <c r="F119" s="4" t="inlineStr">
        <is>
          <t>House</t>
        </is>
      </c>
      <c r="G119" s="4" t="inlineStr">
        <is>
          <t>Yes</t>
        </is>
      </c>
      <c r="H119" s="4" t="inlineStr">
        <is>
          <t>WEIDEL, RICHARD JR</t>
        </is>
      </c>
      <c r="I119" s="4" t="inlineStr">
        <is>
          <t>2 of 4</t>
        </is>
      </c>
      <c r="J119" s="4" t="inlineStr">
        <is>
          <t>No</t>
        </is>
      </c>
    </row>
    <row r="120">
      <c r="A120" s="4" t="n">
        <v>13934</v>
      </c>
      <c r="B120" s="4" t="n">
        <v>32</v>
      </c>
      <c r="C120" s="4" t="n">
        <v>2004</v>
      </c>
      <c r="D120" s="4" t="inlineStr">
        <is>
          <t>2021-08-06</t>
        </is>
      </c>
      <c r="E120" s="5" t="n">
        <v>776000</v>
      </c>
      <c r="F120" s="4" t="inlineStr">
        <is>
          <t>House</t>
        </is>
      </c>
      <c r="G120" s="38" t="inlineStr">
        <is>
          <t>No</t>
        </is>
      </c>
      <c r="H120" s="4" t="inlineStr">
        <is>
          <t>TCMAX LLC</t>
        </is>
      </c>
      <c r="I120" s="4" t="inlineStr">
        <is>
          <t>3 of 4</t>
        </is>
      </c>
      <c r="J120" s="4" t="inlineStr">
        <is>
          <t>No</t>
        </is>
      </c>
    </row>
    <row r="121">
      <c r="A121" s="4" t="n">
        <v>13934</v>
      </c>
      <c r="B121" s="4" t="n">
        <v>32</v>
      </c>
      <c r="C121" s="4" t="n">
        <v>2004</v>
      </c>
      <c r="D121" s="4" t="inlineStr">
        <is>
          <t>2022-01-26</t>
        </is>
      </c>
      <c r="E121" s="5" t="n">
        <v>1395000</v>
      </c>
      <c r="F121" s="4" t="inlineStr">
        <is>
          <t>House</t>
        </is>
      </c>
      <c r="G121" s="4" t="inlineStr">
        <is>
          <t>Yes</t>
        </is>
      </c>
      <c r="H121" s="4" t="inlineStr">
        <is>
          <t>ANACLERIO, ALBERTA P J</t>
        </is>
      </c>
      <c r="I121" s="4" t="inlineStr">
        <is>
          <t>4 of 4</t>
        </is>
      </c>
      <c r="J121" s="4" t="inlineStr">
        <is>
          <t>No</t>
        </is>
      </c>
    </row>
    <row r="122">
      <c r="A122" s="4" t="n">
        <v>13938</v>
      </c>
      <c r="B122" s="4" t="n">
        <v>33</v>
      </c>
      <c r="C122" s="4" t="n">
        <v>2004</v>
      </c>
      <c r="D122" s="4" t="inlineStr">
        <is>
          <t>2004-02-24</t>
        </is>
      </c>
      <c r="E122" s="5" t="n">
        <v>147000</v>
      </c>
      <c r="F122" s="4" t="inlineStr">
        <is>
          <t>Lot</t>
        </is>
      </c>
      <c r="G122" s="4" t="inlineStr">
        <is>
          <t>Yes</t>
        </is>
      </c>
      <c r="H122" s="4" t="inlineStr">
        <is>
          <t>DANGLER, JOHN J</t>
        </is>
      </c>
      <c r="I122" s="4" t="inlineStr">
        <is>
          <t>1 of 2</t>
        </is>
      </c>
      <c r="J122" s="4" t="inlineStr">
        <is>
          <t>No</t>
        </is>
      </c>
    </row>
    <row r="123">
      <c r="A123" s="4" t="n">
        <v>13938</v>
      </c>
      <c r="B123" s="4" t="n">
        <v>33</v>
      </c>
      <c r="C123" s="4" t="n">
        <v>2004</v>
      </c>
      <c r="D123" s="4" t="inlineStr">
        <is>
          <t>2018-04-03</t>
        </is>
      </c>
      <c r="E123" s="5" t="n">
        <v>497500</v>
      </c>
      <c r="F123" s="4" t="inlineStr">
        <is>
          <t>House</t>
        </is>
      </c>
      <c r="G123" s="4" t="inlineStr">
        <is>
          <t>Yes</t>
        </is>
      </c>
      <c r="H123" s="4" t="inlineStr">
        <is>
          <t>BERGTHOLDT, ROBERT H</t>
        </is>
      </c>
      <c r="I123" s="4" t="inlineStr">
        <is>
          <t>2 of 2</t>
        </is>
      </c>
      <c r="J123" s="4" t="inlineStr">
        <is>
          <t>No</t>
        </is>
      </c>
    </row>
    <row r="124">
      <c r="A124" s="4" t="n">
        <v>13942</v>
      </c>
      <c r="B124" s="4" t="n">
        <v>34</v>
      </c>
      <c r="C124" s="4" t="n">
        <v>2005</v>
      </c>
      <c r="D124" s="4" t="inlineStr">
        <is>
          <t>2005-10-17</t>
        </is>
      </c>
      <c r="E124" s="5" t="n">
        <v>604400</v>
      </c>
      <c r="F124" s="4" t="inlineStr">
        <is>
          <t>House</t>
        </is>
      </c>
      <c r="G124" s="4" t="inlineStr">
        <is>
          <t>Yes</t>
        </is>
      </c>
      <c r="H124" s="4" t="inlineStr">
        <is>
          <t>BOULOUCON, PETER</t>
        </is>
      </c>
      <c r="I124" s="4" t="inlineStr">
        <is>
          <t>1 of 3</t>
        </is>
      </c>
      <c r="J124" s="4" t="inlineStr">
        <is>
          <t>No</t>
        </is>
      </c>
    </row>
    <row r="125">
      <c r="A125" s="4" t="n">
        <v>13942</v>
      </c>
      <c r="B125" s="4" t="n">
        <v>34</v>
      </c>
      <c r="C125" s="4" t="n">
        <v>2005</v>
      </c>
      <c r="D125" s="4" t="inlineStr">
        <is>
          <t>2006-07-05</t>
        </is>
      </c>
      <c r="E125" s="5" t="n">
        <v>740000</v>
      </c>
      <c r="F125" s="4" t="inlineStr">
        <is>
          <t>House</t>
        </is>
      </c>
      <c r="G125" s="4" t="inlineStr">
        <is>
          <t>Yes</t>
        </is>
      </c>
      <c r="H125" s="4" t="inlineStr">
        <is>
          <t>OLDHAM, JOEL GORDON</t>
        </is>
      </c>
      <c r="I125" s="4" t="inlineStr">
        <is>
          <t>2 of 3</t>
        </is>
      </c>
      <c r="J125" s="4" t="inlineStr">
        <is>
          <t>No</t>
        </is>
      </c>
    </row>
    <row r="126">
      <c r="A126" s="4" t="n">
        <v>13942</v>
      </c>
      <c r="B126" s="4" t="n">
        <v>34</v>
      </c>
      <c r="C126" s="4" t="n">
        <v>2005</v>
      </c>
      <c r="D126" s="4" t="inlineStr">
        <is>
          <t>2018-11-30</t>
        </is>
      </c>
      <c r="E126" s="5" t="n">
        <v>495000</v>
      </c>
      <c r="F126" s="4" t="inlineStr">
        <is>
          <t>House</t>
        </is>
      </c>
      <c r="G126" s="4" t="inlineStr">
        <is>
          <t>Yes</t>
        </is>
      </c>
      <c r="H126" s="4" t="inlineStr">
        <is>
          <t>MELOCCHI, JOSEPH</t>
        </is>
      </c>
      <c r="I126" s="4" t="inlineStr">
        <is>
          <t>3 of 3</t>
        </is>
      </c>
      <c r="J126" s="4" t="inlineStr">
        <is>
          <t>No</t>
        </is>
      </c>
    </row>
    <row r="127">
      <c r="A127" s="4" t="n">
        <v>13946</v>
      </c>
      <c r="B127" s="4" t="n">
        <v>35</v>
      </c>
      <c r="C127" s="4" t="n">
        <v>2004</v>
      </c>
      <c r="D127" s="4" t="inlineStr">
        <is>
          <t>2004-04-05</t>
        </is>
      </c>
      <c r="E127" s="5" t="n">
        <v>157000</v>
      </c>
      <c r="F127" s="4" t="inlineStr">
        <is>
          <t>Lot</t>
        </is>
      </c>
      <c r="G127" s="4" t="inlineStr">
        <is>
          <t>Yes</t>
        </is>
      </c>
      <c r="H127" s="4" t="inlineStr">
        <is>
          <t>HUIN, ALEXANDRE W</t>
        </is>
      </c>
      <c r="I127" s="4" t="inlineStr">
        <is>
          <t>1 of 3</t>
        </is>
      </c>
      <c r="J127" s="4" t="inlineStr">
        <is>
          <t>No</t>
        </is>
      </c>
    </row>
    <row r="128">
      <c r="A128" s="4" t="n">
        <v>13946</v>
      </c>
      <c r="B128" s="4" t="n">
        <v>35</v>
      </c>
      <c r="C128" s="4" t="n">
        <v>2004</v>
      </c>
      <c r="D128" s="4" t="inlineStr">
        <is>
          <t>2009-01-22</t>
        </is>
      </c>
      <c r="E128" s="5" t="n">
        <v>390000</v>
      </c>
      <c r="F128" s="4" t="inlineStr">
        <is>
          <t>House</t>
        </is>
      </c>
      <c r="G128" s="4" t="inlineStr">
        <is>
          <t>Yes</t>
        </is>
      </c>
      <c r="H128" s="4" t="inlineStr">
        <is>
          <t>SERRANO, JOSEPH</t>
        </is>
      </c>
      <c r="I128" s="4" t="inlineStr">
        <is>
          <t>2 of 3</t>
        </is>
      </c>
      <c r="J128" s="4" t="inlineStr">
        <is>
          <t>No</t>
        </is>
      </c>
    </row>
    <row r="129">
      <c r="A129" s="4" t="n">
        <v>13946</v>
      </c>
      <c r="B129" s="4" t="n">
        <v>35</v>
      </c>
      <c r="C129" s="4" t="n">
        <v>2004</v>
      </c>
      <c r="D129" s="4" t="inlineStr">
        <is>
          <t>2019-07-02</t>
        </is>
      </c>
      <c r="E129" s="5" t="n">
        <v>486300</v>
      </c>
      <c r="F129" s="4" t="inlineStr">
        <is>
          <t>House</t>
        </is>
      </c>
      <c r="G129" s="4" t="inlineStr">
        <is>
          <t>Yes</t>
        </is>
      </c>
      <c r="H129" s="4" t="inlineStr">
        <is>
          <t>LEVY, BENTON J</t>
        </is>
      </c>
      <c r="I129" s="4" t="inlineStr">
        <is>
          <t>3 of 3</t>
        </is>
      </c>
      <c r="J129" s="4" t="inlineStr">
        <is>
          <t>No</t>
        </is>
      </c>
    </row>
    <row r="130">
      <c r="A130" s="4" t="n">
        <v>13947</v>
      </c>
      <c r="B130" s="4" t="n">
        <v>59</v>
      </c>
      <c r="C130" s="4" t="n">
        <v>2004</v>
      </c>
      <c r="D130" s="4" t="inlineStr">
        <is>
          <t>2004-11-12</t>
        </is>
      </c>
      <c r="E130" s="5" t="n">
        <v>473300</v>
      </c>
      <c r="F130" s="4" t="inlineStr">
        <is>
          <t>House</t>
        </is>
      </c>
      <c r="G130" s="4" t="inlineStr">
        <is>
          <t>Yes</t>
        </is>
      </c>
      <c r="H130" s="4" t="inlineStr">
        <is>
          <t>MILLER, LORRAINE</t>
        </is>
      </c>
      <c r="I130" s="4" t="inlineStr">
        <is>
          <t>1 of 2</t>
        </is>
      </c>
      <c r="J130" s="4" t="inlineStr">
        <is>
          <t>No</t>
        </is>
      </c>
    </row>
    <row r="131">
      <c r="A131" s="4" t="n">
        <v>13947</v>
      </c>
      <c r="B131" s="4" t="n">
        <v>59</v>
      </c>
      <c r="C131" s="4" t="n">
        <v>2004</v>
      </c>
      <c r="D131" s="4" t="inlineStr">
        <is>
          <t>2005-06-24</t>
        </is>
      </c>
      <c r="E131" s="5" t="n">
        <v>615000</v>
      </c>
      <c r="F131" s="4" t="inlineStr">
        <is>
          <t>House</t>
        </is>
      </c>
      <c r="G131" s="4" t="inlineStr">
        <is>
          <t>Yes</t>
        </is>
      </c>
      <c r="H131" s="4" t="inlineStr">
        <is>
          <t>SCLAFANI, JUDITH L</t>
        </is>
      </c>
      <c r="I131" s="4" t="inlineStr">
        <is>
          <t>2 of 2</t>
        </is>
      </c>
      <c r="J131" s="4" t="inlineStr">
        <is>
          <t>No</t>
        </is>
      </c>
    </row>
    <row r="132">
      <c r="A132" s="4" t="n">
        <v>13950</v>
      </c>
      <c r="B132" s="4" t="n">
        <v>36</v>
      </c>
      <c r="C132" s="4" t="n">
        <v>2005</v>
      </c>
      <c r="D132" s="4" t="inlineStr">
        <is>
          <t>2004-11-15</t>
        </is>
      </c>
      <c r="E132" s="5" t="n">
        <v>189000</v>
      </c>
      <c r="F132" s="4" t="inlineStr">
        <is>
          <t>Lot</t>
        </is>
      </c>
      <c r="G132" s="4" t="inlineStr">
        <is>
          <t>Yes</t>
        </is>
      </c>
      <c r="H132" s="4" t="inlineStr">
        <is>
          <t>KORSMEYER, RICHARD W</t>
        </is>
      </c>
      <c r="I132" s="4" t="inlineStr">
        <is>
          <t>1 of 2</t>
        </is>
      </c>
      <c r="J132" s="4" t="inlineStr">
        <is>
          <t>No</t>
        </is>
      </c>
    </row>
    <row r="133">
      <c r="A133" s="4" t="n">
        <v>13950</v>
      </c>
      <c r="B133" s="4" t="n">
        <v>36</v>
      </c>
      <c r="C133" s="4" t="n">
        <v>2005</v>
      </c>
      <c r="D133" s="4" t="inlineStr">
        <is>
          <t>2013-11-08</t>
        </is>
      </c>
      <c r="E133" s="5" t="n">
        <v>525000</v>
      </c>
      <c r="F133" s="4" t="inlineStr">
        <is>
          <t>House</t>
        </is>
      </c>
      <c r="G133" s="4" t="inlineStr">
        <is>
          <t>Yes</t>
        </is>
      </c>
      <c r="H133" s="4" t="inlineStr">
        <is>
          <t>MATTHEWS, JAMES F</t>
        </is>
      </c>
      <c r="I133" s="4" t="inlineStr">
        <is>
          <t>2 of 2</t>
        </is>
      </c>
      <c r="J133" s="4" t="inlineStr">
        <is>
          <t>No</t>
        </is>
      </c>
    </row>
    <row r="134">
      <c r="A134" s="4" t="n">
        <v>13951</v>
      </c>
      <c r="B134" s="4" t="n">
        <v>60</v>
      </c>
      <c r="C134" s="4" t="n">
        <v>2005</v>
      </c>
      <c r="D134" s="4" t="inlineStr">
        <is>
          <t>2005-06-30</t>
        </is>
      </c>
      <c r="E134" s="5" t="n">
        <v>660300</v>
      </c>
      <c r="F134" s="4" t="inlineStr">
        <is>
          <t>House</t>
        </is>
      </c>
      <c r="G134" s="4" t="inlineStr">
        <is>
          <t>Yes</t>
        </is>
      </c>
      <c r="H134" s="4" t="inlineStr">
        <is>
          <t>BERESFORD, JAMES M</t>
        </is>
      </c>
      <c r="I134" s="4" t="inlineStr">
        <is>
          <t>1 of 3</t>
        </is>
      </c>
      <c r="J134" s="4" t="inlineStr">
        <is>
          <t>No</t>
        </is>
      </c>
    </row>
    <row r="135">
      <c r="A135" s="4" t="n">
        <v>13951</v>
      </c>
      <c r="B135" s="4" t="n">
        <v>60</v>
      </c>
      <c r="C135" s="4" t="n">
        <v>2005</v>
      </c>
      <c r="D135" s="4" t="inlineStr">
        <is>
          <t>2017-05-01</t>
        </is>
      </c>
      <c r="E135" s="5" t="n">
        <v>450000</v>
      </c>
      <c r="F135" s="4" t="inlineStr">
        <is>
          <t>House</t>
        </is>
      </c>
      <c r="G135" s="4" t="inlineStr">
        <is>
          <t>Yes</t>
        </is>
      </c>
      <c r="H135" s="4" t="inlineStr">
        <is>
          <t>MCMILLAN, DONALD A JR</t>
        </is>
      </c>
      <c r="I135" s="4" t="inlineStr">
        <is>
          <t>2 of 3</t>
        </is>
      </c>
      <c r="J135" s="4" t="inlineStr">
        <is>
          <t>No</t>
        </is>
      </c>
    </row>
    <row r="136">
      <c r="A136" s="4" t="n">
        <v>13951</v>
      </c>
      <c r="B136" s="4" t="n">
        <v>60</v>
      </c>
      <c r="C136" s="4" t="n">
        <v>2005</v>
      </c>
      <c r="D136" s="4" t="inlineStr">
        <is>
          <t>2020-11-25</t>
        </is>
      </c>
      <c r="E136" s="5" t="n">
        <v>564900</v>
      </c>
      <c r="F136" s="4" t="inlineStr">
        <is>
          <t>House</t>
        </is>
      </c>
      <c r="G136" s="4" t="inlineStr">
        <is>
          <t>Yes</t>
        </is>
      </c>
      <c r="H136" s="4" t="inlineStr">
        <is>
          <t>CLARE, CELIA J</t>
        </is>
      </c>
      <c r="I136" s="4" t="inlineStr">
        <is>
          <t>3 of 3</t>
        </is>
      </c>
      <c r="J136" s="4" t="inlineStr">
        <is>
          <t>No</t>
        </is>
      </c>
    </row>
    <row r="137">
      <c r="A137" s="4" t="n">
        <v>13954</v>
      </c>
      <c r="B137" s="4" t="n">
        <v>37</v>
      </c>
      <c r="C137" s="4" t="n">
        <v>2005</v>
      </c>
      <c r="D137" s="4" t="inlineStr">
        <is>
          <t>2004-07-20</t>
        </is>
      </c>
      <c r="E137" s="5" t="n">
        <v>147000</v>
      </c>
      <c r="F137" s="4" t="inlineStr">
        <is>
          <t>Lot</t>
        </is>
      </c>
      <c r="G137" s="4" t="inlineStr">
        <is>
          <t>Yes</t>
        </is>
      </c>
      <c r="H137" s="4" t="inlineStr">
        <is>
          <t>RICHARDSON, EDWARD E</t>
        </is>
      </c>
      <c r="I137" s="4" t="inlineStr">
        <is>
          <t>1 of 2</t>
        </is>
      </c>
      <c r="J137" s="4" t="inlineStr">
        <is>
          <t>No</t>
        </is>
      </c>
    </row>
    <row r="138">
      <c r="A138" s="4" t="n">
        <v>13954</v>
      </c>
      <c r="B138" s="4" t="n">
        <v>37</v>
      </c>
      <c r="C138" s="4" t="n">
        <v>2005</v>
      </c>
      <c r="D138" s="4" t="inlineStr">
        <is>
          <t>2020-09-17</t>
        </is>
      </c>
      <c r="E138" s="5" t="n">
        <v>540000</v>
      </c>
      <c r="F138" s="4" t="inlineStr">
        <is>
          <t>House</t>
        </is>
      </c>
      <c r="G138" s="4" t="inlineStr">
        <is>
          <t>Yes</t>
        </is>
      </c>
      <c r="H138" s="4" t="inlineStr">
        <is>
          <t>FERRARI, KYLE</t>
        </is>
      </c>
      <c r="I138" s="4" t="inlineStr">
        <is>
          <t>2 of 2</t>
        </is>
      </c>
      <c r="J138" s="4" t="inlineStr">
        <is>
          <t>No</t>
        </is>
      </c>
    </row>
    <row r="139">
      <c r="A139" s="4" t="n">
        <v>13955</v>
      </c>
      <c r="B139" s="4" t="n">
        <v>61</v>
      </c>
      <c r="C139" s="4" t="n">
        <v>2004</v>
      </c>
      <c r="D139" s="4" t="inlineStr">
        <is>
          <t>2003-08-28</t>
        </is>
      </c>
      <c r="E139" s="5" t="n">
        <v>127000</v>
      </c>
      <c r="F139" s="4" t="inlineStr">
        <is>
          <t>Lot</t>
        </is>
      </c>
      <c r="G139" s="4" t="inlineStr">
        <is>
          <t>Yes</t>
        </is>
      </c>
      <c r="H139" s="4" t="inlineStr">
        <is>
          <t>MEURER, CHARLENE D</t>
        </is>
      </c>
      <c r="I139" s="4" t="inlineStr">
        <is>
          <t>1 of 2</t>
        </is>
      </c>
      <c r="J139" s="4" t="inlineStr">
        <is>
          <t>No</t>
        </is>
      </c>
    </row>
    <row r="140">
      <c r="A140" s="4" t="n">
        <v>13955</v>
      </c>
      <c r="B140" s="4" t="n">
        <v>61</v>
      </c>
      <c r="C140" s="4" t="n">
        <v>2004</v>
      </c>
      <c r="D140" s="4" t="inlineStr">
        <is>
          <t>2005-06-14</t>
        </is>
      </c>
      <c r="E140" s="5" t="n">
        <v>659000</v>
      </c>
      <c r="F140" s="4" t="inlineStr">
        <is>
          <t>House</t>
        </is>
      </c>
      <c r="G140" s="4" t="inlineStr">
        <is>
          <t>Yes</t>
        </is>
      </c>
      <c r="H140" s="4" t="inlineStr">
        <is>
          <t>STEPHENSON, RANSI</t>
        </is>
      </c>
      <c r="I140" s="4" t="inlineStr">
        <is>
          <t>2 of 2</t>
        </is>
      </c>
      <c r="J140" s="4" t="inlineStr">
        <is>
          <t>No</t>
        </is>
      </c>
    </row>
    <row r="141">
      <c r="A141" s="4" t="n">
        <v>13958</v>
      </c>
      <c r="B141" s="4" t="n">
        <v>38</v>
      </c>
      <c r="C141" s="4" t="n">
        <v>2005</v>
      </c>
      <c r="D141" s="4" t="inlineStr">
        <is>
          <t>2005-11-29</t>
        </is>
      </c>
      <c r="E141" s="5" t="n">
        <v>632300</v>
      </c>
      <c r="F141" s="4" t="inlineStr">
        <is>
          <t>House</t>
        </is>
      </c>
      <c r="G141" s="4" t="inlineStr">
        <is>
          <t>Yes</t>
        </is>
      </c>
      <c r="H141" s="4" t="inlineStr">
        <is>
          <t>SCHILLER, DAVID A</t>
        </is>
      </c>
      <c r="I141" s="4" t="inlineStr">
        <is>
          <t>1 of 2</t>
        </is>
      </c>
      <c r="J141" s="4" t="inlineStr">
        <is>
          <t>No</t>
        </is>
      </c>
    </row>
    <row r="142">
      <c r="A142" s="4" t="n">
        <v>13958</v>
      </c>
      <c r="B142" s="4" t="n">
        <v>38</v>
      </c>
      <c r="C142" s="4" t="n">
        <v>2005</v>
      </c>
      <c r="D142" s="4" t="inlineStr">
        <is>
          <t>2018-01-02</t>
        </is>
      </c>
      <c r="E142" s="5" t="n">
        <v>475000</v>
      </c>
      <c r="F142" s="4" t="inlineStr">
        <is>
          <t>House</t>
        </is>
      </c>
      <c r="G142" s="4" t="inlineStr">
        <is>
          <t>Yes</t>
        </is>
      </c>
      <c r="H142" s="4" t="inlineStr">
        <is>
          <t>NUSBAUM, DEAN KEVIN</t>
        </is>
      </c>
      <c r="I142" s="4" t="inlineStr">
        <is>
          <t>2 of 2</t>
        </is>
      </c>
      <c r="J142" s="4" t="inlineStr">
        <is>
          <t>No</t>
        </is>
      </c>
    </row>
    <row r="143">
      <c r="A143" s="4" t="n">
        <v>13959</v>
      </c>
      <c r="B143" s="4" t="n">
        <v>62</v>
      </c>
      <c r="C143" s="4" t="n">
        <v>2003</v>
      </c>
      <c r="D143" s="4" t="inlineStr">
        <is>
          <t>2002-11-04</t>
        </is>
      </c>
      <c r="E143" s="5" t="n">
        <v>103000</v>
      </c>
      <c r="F143" s="4" t="inlineStr">
        <is>
          <t>Lot</t>
        </is>
      </c>
      <c r="G143" s="4" t="inlineStr">
        <is>
          <t>Yes</t>
        </is>
      </c>
      <c r="H143" s="4" t="inlineStr">
        <is>
          <t>UTTON, RICHARD I</t>
        </is>
      </c>
      <c r="I143" s="4" t="inlineStr">
        <is>
          <t>1 of 1</t>
        </is>
      </c>
      <c r="J143" s="39" t="inlineStr">
        <is>
          <t>Yes</t>
        </is>
      </c>
    </row>
    <row r="144">
      <c r="A144" s="4" t="n">
        <v>13962</v>
      </c>
      <c r="B144" s="4" t="n">
        <v>39</v>
      </c>
      <c r="C144" s="4" t="n">
        <v>2005</v>
      </c>
      <c r="D144" s="4" t="inlineStr">
        <is>
          <t>2004-09-21</t>
        </is>
      </c>
      <c r="E144" s="5" t="n">
        <v>147000</v>
      </c>
      <c r="F144" s="4" t="inlineStr">
        <is>
          <t>Lot</t>
        </is>
      </c>
      <c r="G144" s="4" t="inlineStr">
        <is>
          <t>Yes</t>
        </is>
      </c>
      <c r="H144" s="4" t="inlineStr">
        <is>
          <t>WEBER, DAN M</t>
        </is>
      </c>
      <c r="I144" s="4" t="inlineStr">
        <is>
          <t>1 of 4</t>
        </is>
      </c>
      <c r="J144" s="4" t="inlineStr">
        <is>
          <t>No</t>
        </is>
      </c>
    </row>
    <row r="145">
      <c r="A145" s="4" t="n">
        <v>13962</v>
      </c>
      <c r="B145" s="4" t="n">
        <v>39</v>
      </c>
      <c r="C145" s="4" t="n">
        <v>2005</v>
      </c>
      <c r="D145" s="4" t="inlineStr">
        <is>
          <t>2018-10-01</t>
        </is>
      </c>
      <c r="E145" s="5" t="n">
        <v>530000</v>
      </c>
      <c r="F145" s="4" t="inlineStr">
        <is>
          <t>House</t>
        </is>
      </c>
      <c r="G145" s="4" t="inlineStr">
        <is>
          <t>Yes</t>
        </is>
      </c>
      <c r="H145" s="4" t="inlineStr">
        <is>
          <t>GINGERICH, JAMES A</t>
        </is>
      </c>
      <c r="I145" s="4" t="inlineStr">
        <is>
          <t>2 of 4</t>
        </is>
      </c>
      <c r="J145" s="4" t="inlineStr">
        <is>
          <t>No</t>
        </is>
      </c>
    </row>
    <row r="146">
      <c r="A146" s="4" t="n">
        <v>13962</v>
      </c>
      <c r="B146" s="4" t="n">
        <v>39</v>
      </c>
      <c r="C146" s="4" t="n">
        <v>2005</v>
      </c>
      <c r="D146" s="4" t="inlineStr">
        <is>
          <t>2022-03-01</t>
        </is>
      </c>
      <c r="E146" s="5" t="n">
        <v>800700</v>
      </c>
      <c r="F146" s="4" t="inlineStr">
        <is>
          <t>House</t>
        </is>
      </c>
      <c r="G146" s="38" t="inlineStr">
        <is>
          <t>No</t>
        </is>
      </c>
      <c r="H146" s="4" t="inlineStr">
        <is>
          <t>GAUTIER, MICHAEL</t>
        </is>
      </c>
      <c r="I146" s="4" t="inlineStr">
        <is>
          <t>3 of 4</t>
        </is>
      </c>
      <c r="J146" s="4" t="inlineStr">
        <is>
          <t>No</t>
        </is>
      </c>
    </row>
    <row r="147">
      <c r="A147" s="4" t="n">
        <v>13962</v>
      </c>
      <c r="B147" s="4" t="n">
        <v>39</v>
      </c>
      <c r="C147" s="4" t="n">
        <v>2005</v>
      </c>
      <c r="D147" s="4" t="inlineStr">
        <is>
          <t>2022-04-14</t>
        </is>
      </c>
      <c r="E147" s="5" t="n">
        <v>1085000</v>
      </c>
      <c r="F147" s="4" t="inlineStr">
        <is>
          <t>House</t>
        </is>
      </c>
      <c r="G147" s="4" t="inlineStr">
        <is>
          <t>Yes</t>
        </is>
      </c>
      <c r="H147" s="4" t="inlineStr">
        <is>
          <t>RUNNALLS, IAN</t>
        </is>
      </c>
      <c r="I147" s="4" t="inlineStr">
        <is>
          <t>4 of 4</t>
        </is>
      </c>
      <c r="J147" s="4" t="inlineStr">
        <is>
          <t>No</t>
        </is>
      </c>
    </row>
    <row r="148">
      <c r="A148" s="4" t="n">
        <v>13963</v>
      </c>
      <c r="B148" s="4" t="n">
        <v>63</v>
      </c>
      <c r="C148" s="4" t="n">
        <v>2003</v>
      </c>
      <c r="D148" s="4" t="inlineStr">
        <is>
          <t>2002-11-22</t>
        </is>
      </c>
      <c r="E148" s="5" t="n">
        <v>106000</v>
      </c>
      <c r="F148" s="4" t="inlineStr">
        <is>
          <t>Lot</t>
        </is>
      </c>
      <c r="G148" s="4" t="inlineStr">
        <is>
          <t>Yes</t>
        </is>
      </c>
      <c r="H148" s="4" t="inlineStr">
        <is>
          <t>GUARDINO, JAMES J JR</t>
        </is>
      </c>
      <c r="I148" s="4" t="inlineStr">
        <is>
          <t>1 of 1</t>
        </is>
      </c>
      <c r="J148" s="39" t="inlineStr">
        <is>
          <t>Yes</t>
        </is>
      </c>
    </row>
    <row r="149">
      <c r="A149" s="4" t="n">
        <v>13966</v>
      </c>
      <c r="B149" s="4" t="n">
        <v>40</v>
      </c>
      <c r="C149" s="4" t="n">
        <v>2004</v>
      </c>
      <c r="D149" s="4" t="inlineStr">
        <is>
          <t>2004-09-16</t>
        </is>
      </c>
      <c r="E149" s="5" t="n">
        <v>647200</v>
      </c>
      <c r="F149" s="4" t="inlineStr">
        <is>
          <t>House</t>
        </is>
      </c>
      <c r="G149" s="4" t="inlineStr">
        <is>
          <t>Yes</t>
        </is>
      </c>
      <c r="H149" s="4" t="inlineStr">
        <is>
          <t>TONGEN, LEE E</t>
        </is>
      </c>
      <c r="I149" s="4" t="inlineStr">
        <is>
          <t>1 of 3</t>
        </is>
      </c>
      <c r="J149" s="4" t="inlineStr">
        <is>
          <t>No</t>
        </is>
      </c>
    </row>
    <row r="150">
      <c r="A150" s="4" t="n">
        <v>13966</v>
      </c>
      <c r="B150" s="4" t="n">
        <v>40</v>
      </c>
      <c r="C150" s="4" t="n">
        <v>2004</v>
      </c>
      <c r="D150" s="4" t="inlineStr">
        <is>
          <t>2010-11-10</t>
        </is>
      </c>
      <c r="E150" s="5" t="n">
        <v>505000</v>
      </c>
      <c r="F150" s="4" t="inlineStr">
        <is>
          <t>House</t>
        </is>
      </c>
      <c r="G150" s="4" t="inlineStr">
        <is>
          <t>Yes</t>
        </is>
      </c>
      <c r="H150" s="4" t="inlineStr">
        <is>
          <t>STAIKOS, CHRIS</t>
        </is>
      </c>
      <c r="I150" s="4" t="inlineStr">
        <is>
          <t>2 of 3</t>
        </is>
      </c>
      <c r="J150" s="4" t="inlineStr">
        <is>
          <t>No</t>
        </is>
      </c>
    </row>
    <row r="151">
      <c r="A151" s="4" t="n">
        <v>13966</v>
      </c>
      <c r="B151" s="4" t="n">
        <v>40</v>
      </c>
      <c r="C151" s="4" t="n">
        <v>2004</v>
      </c>
      <c r="D151" s="4" t="inlineStr">
        <is>
          <t>2016-04-26</t>
        </is>
      </c>
      <c r="E151" s="5" t="n">
        <v>549900</v>
      </c>
      <c r="F151" s="4" t="inlineStr">
        <is>
          <t>House</t>
        </is>
      </c>
      <c r="G151" s="4" t="inlineStr">
        <is>
          <t>Yes</t>
        </is>
      </c>
      <c r="H151" s="4" t="inlineStr">
        <is>
          <t>KELLY, KEVIN E</t>
        </is>
      </c>
      <c r="I151" s="4" t="inlineStr">
        <is>
          <t>3 of 3</t>
        </is>
      </c>
      <c r="J151" s="4" t="inlineStr">
        <is>
          <t>No</t>
        </is>
      </c>
    </row>
    <row r="152">
      <c r="A152" s="4" t="n">
        <v>13967</v>
      </c>
      <c r="B152" s="4" t="n">
        <v>64</v>
      </c>
      <c r="C152" s="4" t="n">
        <v>2004</v>
      </c>
      <c r="D152" s="4" t="inlineStr">
        <is>
          <t>2004-11-11</t>
        </is>
      </c>
      <c r="E152" s="5" t="n">
        <v>559100</v>
      </c>
      <c r="F152" s="4" t="inlineStr">
        <is>
          <t>House</t>
        </is>
      </c>
      <c r="G152" s="4" t="inlineStr">
        <is>
          <t>Yes</t>
        </is>
      </c>
      <c r="H152" s="4" t="inlineStr">
        <is>
          <t>SCHLOBOHM, RAY</t>
        </is>
      </c>
      <c r="I152" s="4" t="inlineStr">
        <is>
          <t>1 of 1</t>
        </is>
      </c>
      <c r="J152" s="39" t="inlineStr">
        <is>
          <t>Yes</t>
        </is>
      </c>
    </row>
    <row r="153">
      <c r="A153" s="4" t="n">
        <v>13970</v>
      </c>
      <c r="B153" s="4" t="n">
        <v>41</v>
      </c>
      <c r="C153" s="4" t="n">
        <v>2004</v>
      </c>
      <c r="D153" s="4" t="inlineStr">
        <is>
          <t>2004-01-28</t>
        </is>
      </c>
      <c r="E153" s="5" t="n">
        <v>156000</v>
      </c>
      <c r="F153" s="4" t="inlineStr">
        <is>
          <t>Lot</t>
        </is>
      </c>
      <c r="G153" s="4" t="inlineStr">
        <is>
          <t>Yes</t>
        </is>
      </c>
      <c r="H153" s="4" t="inlineStr">
        <is>
          <t>DELFABRO PROPERTIES LLC</t>
        </is>
      </c>
      <c r="I153" s="4" t="inlineStr">
        <is>
          <t>1 of 2</t>
        </is>
      </c>
      <c r="J153" s="4" t="inlineStr">
        <is>
          <t>No</t>
        </is>
      </c>
    </row>
    <row r="154">
      <c r="A154" s="4" t="n">
        <v>13970</v>
      </c>
      <c r="B154" s="4" t="n">
        <v>41</v>
      </c>
      <c r="C154" s="4" t="n">
        <v>2004</v>
      </c>
      <c r="D154" s="4" t="inlineStr">
        <is>
          <t>2015-03-26</t>
        </is>
      </c>
      <c r="E154" s="5" t="n">
        <v>390000</v>
      </c>
      <c r="F154" s="4" t="inlineStr">
        <is>
          <t>House</t>
        </is>
      </c>
      <c r="G154" s="4" t="inlineStr">
        <is>
          <t>Yes</t>
        </is>
      </c>
      <c r="H154" s="4" t="inlineStr">
        <is>
          <t>DELFABRO PROPERTIES LLC</t>
        </is>
      </c>
      <c r="I154" s="4" t="inlineStr">
        <is>
          <t>2 of 2</t>
        </is>
      </c>
      <c r="J154" s="4" t="inlineStr">
        <is>
          <t>No</t>
        </is>
      </c>
    </row>
    <row r="155">
      <c r="A155" s="4" t="n">
        <v>13974</v>
      </c>
      <c r="B155" s="4" t="n">
        <v>42</v>
      </c>
      <c r="C155" s="4" t="n">
        <v>2003</v>
      </c>
      <c r="D155" s="4" t="inlineStr">
        <is>
          <t>2004-10-28</t>
        </is>
      </c>
      <c r="E155" s="5" t="n">
        <v>585000</v>
      </c>
      <c r="F155" s="4" t="inlineStr">
        <is>
          <t>House</t>
        </is>
      </c>
      <c r="G155" s="4" t="inlineStr">
        <is>
          <t>Yes</t>
        </is>
      </c>
      <c r="H155" s="4" t="inlineStr">
        <is>
          <t>HILDEBRAND, G JACK</t>
        </is>
      </c>
      <c r="I155" s="4" t="inlineStr">
        <is>
          <t>1 of 1</t>
        </is>
      </c>
      <c r="J155" s="39" t="inlineStr">
        <is>
          <t>Yes</t>
        </is>
      </c>
    </row>
    <row r="156">
      <c r="A156" s="4" t="n">
        <v>13975</v>
      </c>
      <c r="B156" s="4" t="n">
        <v>65</v>
      </c>
      <c r="C156" s="4" t="n">
        <v>2006</v>
      </c>
      <c r="D156" s="4" t="inlineStr">
        <is>
          <t>2006-01-05</t>
        </is>
      </c>
      <c r="E156" s="5" t="n">
        <v>833700</v>
      </c>
      <c r="F156" s="4" t="inlineStr">
        <is>
          <t>House</t>
        </is>
      </c>
      <c r="G156" s="4" t="inlineStr">
        <is>
          <t>Yes</t>
        </is>
      </c>
      <c r="H156" s="4" t="inlineStr">
        <is>
          <t>FELDMAN, NOEL</t>
        </is>
      </c>
      <c r="I156" s="4" t="inlineStr">
        <is>
          <t>1 of 1</t>
        </is>
      </c>
      <c r="J156" s="39" t="inlineStr">
        <is>
          <t>Yes</t>
        </is>
      </c>
    </row>
    <row r="157">
      <c r="A157" s="4" t="n">
        <v>13978</v>
      </c>
      <c r="B157" s="4" t="n">
        <v>43</v>
      </c>
      <c r="C157" s="4" t="n">
        <v>2004</v>
      </c>
      <c r="D157" s="4" t="inlineStr">
        <is>
          <t>2003-09-16</t>
        </is>
      </c>
      <c r="E157" s="5" t="n">
        <v>158000</v>
      </c>
      <c r="F157" s="4" t="inlineStr">
        <is>
          <t>Lot</t>
        </is>
      </c>
      <c r="G157" s="4" t="inlineStr">
        <is>
          <t>Yes</t>
        </is>
      </c>
      <c r="H157" s="4" t="inlineStr">
        <is>
          <t>LEAVEY, THOMAS E</t>
        </is>
      </c>
      <c r="I157" s="4" t="inlineStr">
        <is>
          <t>1 of 1</t>
        </is>
      </c>
      <c r="J157" s="39" t="inlineStr">
        <is>
          <t>Yes</t>
        </is>
      </c>
    </row>
    <row r="158">
      <c r="A158" s="4" t="n">
        <v>13982</v>
      </c>
      <c r="B158" s="4" t="n">
        <v>44</v>
      </c>
      <c r="C158" s="4" t="n">
        <v>2004</v>
      </c>
      <c r="D158" s="4" t="inlineStr">
        <is>
          <t>2004-03-25</t>
        </is>
      </c>
      <c r="E158" s="5" t="n">
        <v>587100</v>
      </c>
      <c r="F158" s="4" t="inlineStr">
        <is>
          <t>House</t>
        </is>
      </c>
      <c r="G158" s="4" t="inlineStr">
        <is>
          <t>Yes</t>
        </is>
      </c>
      <c r="H158" s="4" t="inlineStr">
        <is>
          <t>NORMAN, JACK</t>
        </is>
      </c>
      <c r="I158" s="4" t="inlineStr">
        <is>
          <t>1 of 2</t>
        </is>
      </c>
      <c r="J158" s="4" t="inlineStr">
        <is>
          <t>No</t>
        </is>
      </c>
    </row>
    <row r="159">
      <c r="A159" s="4" t="n">
        <v>13982</v>
      </c>
      <c r="B159" s="4" t="n">
        <v>44</v>
      </c>
      <c r="C159" s="4" t="n">
        <v>2004</v>
      </c>
      <c r="D159" s="4" t="inlineStr">
        <is>
          <t>2021-03-01</t>
        </is>
      </c>
      <c r="E159" s="5" t="n">
        <v>579000</v>
      </c>
      <c r="F159" s="4" t="inlineStr">
        <is>
          <t>House</t>
        </is>
      </c>
      <c r="G159" s="4" t="inlineStr">
        <is>
          <t>Yes</t>
        </is>
      </c>
      <c r="H159" s="4" t="inlineStr">
        <is>
          <t>HARKEY, JOHN THOMAS</t>
        </is>
      </c>
      <c r="I159" s="4" t="inlineStr">
        <is>
          <t>2 of 2</t>
        </is>
      </c>
      <c r="J159" s="4" t="inlineStr">
        <is>
          <t>No</t>
        </is>
      </c>
    </row>
    <row r="160">
      <c r="A160" s="4" t="n">
        <v>13983</v>
      </c>
      <c r="B160" s="4" t="n">
        <v>66</v>
      </c>
      <c r="C160" s="4" t="n">
        <v>2003</v>
      </c>
      <c r="D160" s="4" t="inlineStr">
        <is>
          <t>2004-02-27</t>
        </is>
      </c>
      <c r="E160" s="5" t="n">
        <v>775000</v>
      </c>
      <c r="F160" s="4" t="inlineStr">
        <is>
          <t>House</t>
        </is>
      </c>
      <c r="G160" s="4" t="inlineStr">
        <is>
          <t>Yes</t>
        </is>
      </c>
      <c r="H160" s="4" t="inlineStr">
        <is>
          <t>JAMISON, PAUL W</t>
        </is>
      </c>
      <c r="I160" s="4" t="inlineStr">
        <is>
          <t>1 of 3</t>
        </is>
      </c>
      <c r="J160" s="4" t="inlineStr">
        <is>
          <t>No</t>
        </is>
      </c>
    </row>
    <row r="161">
      <c r="A161" s="4" t="n">
        <v>13983</v>
      </c>
      <c r="B161" s="4" t="n">
        <v>66</v>
      </c>
      <c r="C161" s="4" t="n">
        <v>2003</v>
      </c>
      <c r="D161" s="4" t="inlineStr">
        <is>
          <t>2005-12-14</t>
        </is>
      </c>
      <c r="E161" s="5" t="n">
        <v>940000</v>
      </c>
      <c r="F161" s="4" t="inlineStr">
        <is>
          <t>House</t>
        </is>
      </c>
      <c r="G161" s="4" t="inlineStr">
        <is>
          <t>Yes</t>
        </is>
      </c>
      <c r="H161" s="4" t="inlineStr">
        <is>
          <t>SALTZ, JEFFREY S</t>
        </is>
      </c>
      <c r="I161" s="4" t="inlineStr">
        <is>
          <t>2 of 3</t>
        </is>
      </c>
      <c r="J161" s="4" t="inlineStr">
        <is>
          <t>No</t>
        </is>
      </c>
    </row>
    <row r="162">
      <c r="A162" s="4" t="n">
        <v>13983</v>
      </c>
      <c r="B162" s="4" t="n">
        <v>66</v>
      </c>
      <c r="C162" s="4" t="n">
        <v>2003</v>
      </c>
      <c r="D162" s="4" t="inlineStr">
        <is>
          <t>2024-06-10</t>
        </is>
      </c>
      <c r="E162" s="5" t="n">
        <v>1000000</v>
      </c>
      <c r="F162" s="4" t="inlineStr">
        <is>
          <t>House</t>
        </is>
      </c>
      <c r="G162" s="4" t="inlineStr">
        <is>
          <t>Yes</t>
        </is>
      </c>
      <c r="H162" s="4" t="inlineStr">
        <is>
          <t>FARSAD, MANSOUR</t>
        </is>
      </c>
      <c r="I162" s="4" t="inlineStr">
        <is>
          <t>3 of 3</t>
        </is>
      </c>
      <c r="J162" s="4" t="inlineStr">
        <is>
          <t>No</t>
        </is>
      </c>
    </row>
    <row r="163">
      <c r="A163" s="4" t="n">
        <v>13986</v>
      </c>
      <c r="B163" s="4" t="n">
        <v>45</v>
      </c>
      <c r="C163" s="4" t="n">
        <v>2003</v>
      </c>
      <c r="D163" s="4" t="inlineStr">
        <is>
          <t>2004-02-24</t>
        </is>
      </c>
      <c r="E163" s="5" t="n">
        <v>846600</v>
      </c>
      <c r="F163" s="4" t="inlineStr">
        <is>
          <t>House</t>
        </is>
      </c>
      <c r="G163" s="4" t="inlineStr">
        <is>
          <t>Yes</t>
        </is>
      </c>
      <c r="H163" s="4" t="inlineStr">
        <is>
          <t>WOOD, JOHN MICHAEL</t>
        </is>
      </c>
      <c r="I163" s="4" t="inlineStr">
        <is>
          <t>1 of 3</t>
        </is>
      </c>
      <c r="J163" s="4" t="inlineStr">
        <is>
          <t>No</t>
        </is>
      </c>
    </row>
    <row r="164">
      <c r="A164" s="4" t="n">
        <v>13986</v>
      </c>
      <c r="B164" s="4" t="n">
        <v>45</v>
      </c>
      <c r="C164" s="4" t="n">
        <v>2003</v>
      </c>
      <c r="D164" s="4" t="inlineStr">
        <is>
          <t>2008-02-19</t>
        </is>
      </c>
      <c r="E164" s="5" t="n">
        <v>599500</v>
      </c>
      <c r="F164" s="4" t="inlineStr">
        <is>
          <t>House</t>
        </is>
      </c>
      <c r="G164" s="4" t="inlineStr">
        <is>
          <t>Yes</t>
        </is>
      </c>
      <c r="H164" s="4" t="inlineStr">
        <is>
          <t>CAHILL, TOM</t>
        </is>
      </c>
      <c r="I164" s="4" t="inlineStr">
        <is>
          <t>2 of 3</t>
        </is>
      </c>
      <c r="J164" s="4" t="inlineStr">
        <is>
          <t>No</t>
        </is>
      </c>
    </row>
    <row r="165">
      <c r="A165" s="4" t="n">
        <v>13986</v>
      </c>
      <c r="B165" s="4" t="n">
        <v>45</v>
      </c>
      <c r="C165" s="4" t="n">
        <v>2003</v>
      </c>
      <c r="D165" s="4" t="inlineStr">
        <is>
          <t>2018-05-25</t>
        </is>
      </c>
      <c r="E165" s="5" t="n">
        <v>500000</v>
      </c>
      <c r="F165" s="4" t="inlineStr">
        <is>
          <t>House</t>
        </is>
      </c>
      <c r="G165" s="4" t="inlineStr">
        <is>
          <t>Yes</t>
        </is>
      </c>
      <c r="H165" s="4" t="inlineStr">
        <is>
          <t>HUNTER, JOSEPH R</t>
        </is>
      </c>
      <c r="I165" s="4" t="inlineStr">
        <is>
          <t>3 of 3</t>
        </is>
      </c>
      <c r="J165" s="4" t="inlineStr">
        <is>
          <t>No</t>
        </is>
      </c>
    </row>
    <row r="166">
      <c r="A166" s="4" t="n">
        <v>13987</v>
      </c>
      <c r="B166" s="4" t="n">
        <v>67</v>
      </c>
      <c r="C166" s="4" t="n">
        <v>2003</v>
      </c>
      <c r="D166" s="4" t="inlineStr">
        <is>
          <t>2004-01-28</t>
        </is>
      </c>
      <c r="E166" s="5" t="n">
        <v>559700</v>
      </c>
      <c r="F166" s="4" t="inlineStr">
        <is>
          <t>House</t>
        </is>
      </c>
      <c r="G166" s="4" t="inlineStr">
        <is>
          <t>Yes</t>
        </is>
      </c>
      <c r="H166" s="4" t="inlineStr">
        <is>
          <t>SAALFELD, CLEM</t>
        </is>
      </c>
      <c r="I166" s="4" t="inlineStr">
        <is>
          <t>1 of 4</t>
        </is>
      </c>
      <c r="J166" s="4" t="inlineStr">
        <is>
          <t>No</t>
        </is>
      </c>
    </row>
    <row r="167">
      <c r="A167" s="4" t="n">
        <v>13987</v>
      </c>
      <c r="B167" s="4" t="n">
        <v>67</v>
      </c>
      <c r="C167" s="4" t="n">
        <v>2003</v>
      </c>
      <c r="D167" s="4" t="inlineStr">
        <is>
          <t>2020-02-07</t>
        </is>
      </c>
      <c r="E167" s="5" t="n">
        <v>420000</v>
      </c>
      <c r="F167" s="4" t="inlineStr">
        <is>
          <t>House</t>
        </is>
      </c>
      <c r="G167" s="4" t="inlineStr">
        <is>
          <t>Yes</t>
        </is>
      </c>
      <c r="H167" s="4" t="inlineStr">
        <is>
          <t>ENGEL, KENNETH WAYNE</t>
        </is>
      </c>
      <c r="I167" s="4" t="inlineStr">
        <is>
          <t>2 of 4</t>
        </is>
      </c>
      <c r="J167" s="4" t="inlineStr">
        <is>
          <t>No</t>
        </is>
      </c>
    </row>
    <row r="168">
      <c r="A168" s="4" t="n">
        <v>13987</v>
      </c>
      <c r="B168" s="4" t="n">
        <v>67</v>
      </c>
      <c r="C168" s="4" t="n">
        <v>2003</v>
      </c>
      <c r="D168" s="4" t="inlineStr">
        <is>
          <t>2023-11-22</t>
        </is>
      </c>
      <c r="E168" s="5" t="n">
        <v>810000</v>
      </c>
      <c r="F168" s="4" t="inlineStr">
        <is>
          <t>House</t>
        </is>
      </c>
      <c r="G168" s="4" t="inlineStr">
        <is>
          <t>Yes</t>
        </is>
      </c>
      <c r="H168" s="4" t="inlineStr">
        <is>
          <t>SULLIVAN, KURT R</t>
        </is>
      </c>
      <c r="I168" s="4" t="inlineStr">
        <is>
          <t>3 of 4</t>
        </is>
      </c>
      <c r="J168" s="4" t="inlineStr">
        <is>
          <t>No</t>
        </is>
      </c>
    </row>
    <row r="169">
      <c r="A169" s="4" t="n">
        <v>13987</v>
      </c>
      <c r="B169" s="4" t="n">
        <v>67</v>
      </c>
      <c r="C169" s="4" t="n">
        <v>2003</v>
      </c>
      <c r="D169" s="4" t="inlineStr">
        <is>
          <t>2026-08-03</t>
        </is>
      </c>
      <c r="E169" s="5" t="n">
        <v>760000</v>
      </c>
      <c r="F169" s="4" t="inlineStr">
        <is>
          <t>House</t>
        </is>
      </c>
      <c r="G169" s="4" t="inlineStr">
        <is>
          <t>Yes</t>
        </is>
      </c>
      <c r="H169" s="4" t="inlineStr">
        <is>
          <t>DIAZ, CHRISTINE</t>
        </is>
      </c>
      <c r="I169" s="4" t="inlineStr">
        <is>
          <t>4 of 4</t>
        </is>
      </c>
      <c r="J169" s="4" t="inlineStr">
        <is>
          <t>No</t>
        </is>
      </c>
    </row>
    <row r="170">
      <c r="A170" s="4" t="n">
        <v>13990</v>
      </c>
      <c r="B170" s="4" t="n">
        <v>46</v>
      </c>
      <c r="C170" s="4" t="n">
        <v>2005</v>
      </c>
      <c r="D170" s="4" t="inlineStr">
        <is>
          <t>2004-12-03</t>
        </is>
      </c>
      <c r="E170" s="5" t="n">
        <v>200000</v>
      </c>
      <c r="F170" s="4" t="inlineStr">
        <is>
          <t>Lot</t>
        </is>
      </c>
      <c r="G170" s="4" t="inlineStr">
        <is>
          <t>Yes</t>
        </is>
      </c>
      <c r="H170" s="4" t="inlineStr">
        <is>
          <t>NARCISCO, BARBARA</t>
        </is>
      </c>
      <c r="I170" s="4" t="inlineStr">
        <is>
          <t>1 of 3</t>
        </is>
      </c>
      <c r="J170" s="4" t="inlineStr">
        <is>
          <t>No</t>
        </is>
      </c>
    </row>
    <row r="171">
      <c r="A171" s="4" t="n">
        <v>13990</v>
      </c>
      <c r="B171" s="4" t="n">
        <v>46</v>
      </c>
      <c r="C171" s="4" t="n">
        <v>2005</v>
      </c>
      <c r="D171" s="4" t="inlineStr">
        <is>
          <t>2017-06-20</t>
        </is>
      </c>
      <c r="E171" s="5" t="n">
        <v>480000</v>
      </c>
      <c r="F171" s="4" t="inlineStr">
        <is>
          <t>House</t>
        </is>
      </c>
      <c r="G171" s="4" t="inlineStr">
        <is>
          <t>Yes</t>
        </is>
      </c>
      <c r="H171" s="4" t="inlineStr">
        <is>
          <t>PARSONS, TIMOTHY JOHN</t>
        </is>
      </c>
      <c r="I171" s="4" t="inlineStr">
        <is>
          <t>2 of 3</t>
        </is>
      </c>
      <c r="J171" s="4" t="inlineStr">
        <is>
          <t>No</t>
        </is>
      </c>
    </row>
    <row r="172">
      <c r="A172" s="4" t="n">
        <v>13990</v>
      </c>
      <c r="B172" s="4" t="n">
        <v>46</v>
      </c>
      <c r="C172" s="4" t="n">
        <v>2005</v>
      </c>
      <c r="D172" s="4" t="inlineStr">
        <is>
          <t>2022-12-16</t>
        </is>
      </c>
      <c r="E172" s="5" t="n">
        <v>935000</v>
      </c>
      <c r="F172" s="4" t="inlineStr">
        <is>
          <t>House</t>
        </is>
      </c>
      <c r="G172" s="4" t="inlineStr">
        <is>
          <t>Yes</t>
        </is>
      </c>
      <c r="H172" s="4" t="inlineStr">
        <is>
          <t>RYDBERG, THOMAS C</t>
        </is>
      </c>
      <c r="I172" s="4" t="inlineStr">
        <is>
          <t>3 of 3</t>
        </is>
      </c>
      <c r="J172" s="4" t="inlineStr">
        <is>
          <t>No</t>
        </is>
      </c>
    </row>
    <row r="173">
      <c r="A173" s="4" t="n">
        <v>13994</v>
      </c>
      <c r="B173" s="4" t="n">
        <v>47</v>
      </c>
      <c r="C173" s="4" t="n">
        <v>2006</v>
      </c>
      <c r="D173" s="4" t="inlineStr">
        <is>
          <t>2006-03-08</t>
        </is>
      </c>
      <c r="E173" s="5" t="n">
        <v>817700</v>
      </c>
      <c r="F173" s="4" t="inlineStr">
        <is>
          <t>House</t>
        </is>
      </c>
      <c r="G173" s="4" t="inlineStr">
        <is>
          <t>Yes</t>
        </is>
      </c>
      <c r="H173" s="4" t="inlineStr">
        <is>
          <t>PHILLIPS, PERCIVAL</t>
        </is>
      </c>
      <c r="I173" s="4" t="inlineStr">
        <is>
          <t>1 of 2</t>
        </is>
      </c>
      <c r="J173" s="4" t="inlineStr">
        <is>
          <t>No</t>
        </is>
      </c>
    </row>
    <row r="174">
      <c r="A174" s="4" t="n">
        <v>13994</v>
      </c>
      <c r="B174" s="4" t="n">
        <v>47</v>
      </c>
      <c r="C174" s="4" t="n">
        <v>2006</v>
      </c>
      <c r="D174" s="4" t="inlineStr">
        <is>
          <t>2020-05-12</t>
        </is>
      </c>
      <c r="E174" s="5" t="n">
        <v>445000</v>
      </c>
      <c r="F174" s="4" t="inlineStr">
        <is>
          <t>House</t>
        </is>
      </c>
      <c r="G174" s="38" t="inlineStr">
        <is>
          <t>No</t>
        </is>
      </c>
      <c r="H174" s="4" t="inlineStr">
        <is>
          <t>MORIARTY, TIMOTHY P</t>
        </is>
      </c>
      <c r="I174" s="4" t="inlineStr">
        <is>
          <t>2 of 2</t>
        </is>
      </c>
      <c r="J174" s="4" t="inlineStr">
        <is>
          <t>No</t>
        </is>
      </c>
    </row>
    <row r="175">
      <c r="A175" s="4" t="n">
        <v>13995</v>
      </c>
      <c r="B175" s="4" t="n">
        <v>68</v>
      </c>
      <c r="C175" s="4" t="n">
        <v>2006</v>
      </c>
      <c r="D175" s="4" t="inlineStr">
        <is>
          <t>2006-04-04</t>
        </is>
      </c>
      <c r="E175" s="5" t="n">
        <v>632900</v>
      </c>
      <c r="F175" s="4" t="inlineStr">
        <is>
          <t>House</t>
        </is>
      </c>
      <c r="G175" s="4" t="inlineStr">
        <is>
          <t>Yes</t>
        </is>
      </c>
      <c r="H175" s="4" t="inlineStr">
        <is>
          <t>BHALODIA, ASHOKKUMA L</t>
        </is>
      </c>
      <c r="I175" s="4" t="inlineStr">
        <is>
          <t>1 of 2</t>
        </is>
      </c>
      <c r="J175" s="4" t="inlineStr">
        <is>
          <t>No</t>
        </is>
      </c>
    </row>
    <row r="176">
      <c r="A176" s="4" t="n">
        <v>13995</v>
      </c>
      <c r="B176" s="4" t="n">
        <v>68</v>
      </c>
      <c r="C176" s="4" t="n">
        <v>2006</v>
      </c>
      <c r="D176" s="4" t="inlineStr">
        <is>
          <t>2009-10-26</t>
        </is>
      </c>
      <c r="E176" s="5" t="n">
        <v>299000</v>
      </c>
      <c r="F176" s="4" t="inlineStr">
        <is>
          <t>House</t>
        </is>
      </c>
      <c r="G176" s="4" t="inlineStr">
        <is>
          <t>Yes</t>
        </is>
      </c>
      <c r="H176" s="4" t="inlineStr">
        <is>
          <t>GRAY, ROBERT</t>
        </is>
      </c>
      <c r="I176" s="4" t="inlineStr">
        <is>
          <t>2 of 2</t>
        </is>
      </c>
      <c r="J176" s="4" t="inlineStr">
        <is>
          <t>No</t>
        </is>
      </c>
    </row>
  </sheetData>
  <autoFilter ref="A4:J176"/>
  <mergeCells count="1">
    <mergeCell ref="A2:J2"/>
  </mergeCells>
  <pageMargins left="0.75" right="0.75" top="1" bottom="1" header="0.5" footer="0.5"/>
  <pageSetup orientation="landscape" paperSize="3" fitToHeight="0" fitToWidth="1"/>
  <headerFooter>
    <oddHeader>&amp;LSiena Loop deeds, property appraiser</oddHeader>
    <oddFoot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2026-10-23T21:34:18Z</dcterms:created>
  <dcterms:modified xmlns:dcterms="http://purl.org/dc/terms/" xmlns:xsi="http://www.w3.org/2001/XMLSchema-instance" xsi:type="dcterms:W3CDTF">2026-10-23T21:34:18Z</dcterms:modified>
</cp:coreProperties>
</file>