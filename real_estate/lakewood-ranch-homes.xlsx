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Permits" sheetId="8" state="visible" r:id="rId8"/>
    <sheet xmlns:r="http://schemas.openxmlformats.org/officeDocument/2006/relationships" name="Sources" sheetId="9" state="visible" r:id="rId9"/>
  </sheets>
  <definedNames>
    <definedName name="_xlnm._FilterDatabase" localSheetId="1" hidden="1">'Subject'!$A$1:$C$23</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'Upgrades'!$A$1:$D$20</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'Permits'!$A$4:$G$11</definedName>
    <definedName name="_xlnm.Print_Titles" localSheetId="7">'Permits'!$4:$4</definedName>
    <definedName name="_xlnm._FilterDatabase" localSheetId="8" hidden="1">'Sources'!$A$1:$C$21</definedName>
    <definedName name="_xlnm.Print_Titles" localSheetId="8">'Sources'!$1:$1</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The Permits sheet is the Manatee County check of the agent's equipment dates.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3"/>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two offers rejected</t>
        </is>
      </c>
      <c r="C3" s="4" t="inlineStr">
        <is>
          <t>No price cut. The listing agent told our broker the owners rejected two offers, both under $1,000,000. The amounts were not disclosed.</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Permit CMP-05031188 completed 28 Feb 2006. Neal Communities of Southwest Florida. Concrete block, tile roof, gas.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Listing says zoning A/WPE. The 2024 Accela record says PD-MU. Flood zone X on both.</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Original tile, completed 28 Feb 2006</t>
        </is>
      </c>
      <c r="C19" s="4" t="inlineStr">
        <is>
          <t>CMP-05031188. No reroof permit in the 2006–2018 archive or the live GIS layer. The agent's 20-year age matches. Planning range to replace tile is $40,000–$80,000, not a bid.</t>
        </is>
      </c>
    </row>
    <row r="20" ht="32" customHeight="1">
      <c r="A20" s="3" t="inlineStr">
        <is>
          <t>HVAC</t>
        </is>
      </c>
      <c r="B20" s="4" t="inlineStr">
        <is>
          <t>One permitted changeout, 30 May 2024</t>
        </is>
      </c>
      <c r="C20" s="4" t="inlineStr">
        <is>
          <t>BLD2405-3790, like for like, $9,524, Arctic Air. GIS certificate date 22 May 2026. Accela lists no completed inspections. No permit was found for the agent's 2017 system.</t>
        </is>
      </c>
    </row>
    <row r="21" ht="32" customHeight="1">
      <c r="A21" s="3" t="inlineStr">
        <is>
          <t>Pool</t>
        </is>
      </c>
      <c r="B21" s="4" t="inlineStr">
        <is>
          <t>Original pool and cage, 2006</t>
        </is>
      </c>
      <c r="C21" s="4" t="inlineStr">
        <is>
          <t>Pool completed 25 May 2006 (CMP-05070213). Mansard cage completed 7 Mar 2006 (CMP-06011072). No 2020 heater permit was found.</t>
        </is>
      </c>
    </row>
    <row r="22" ht="32" customHeight="1">
      <c r="A22" s="3" t="inlineStr">
        <is>
          <t>Orientation</t>
        </is>
      </c>
      <c r="B22" s="4" t="inlineStr">
        <is>
          <t>Front faces east</t>
        </is>
      </c>
      <c r="C22" s="4" t="inlineStr">
        <is>
          <t>Photo captions describe a west-facing lanai and sunsets. Consistent with a rear-west plan.</t>
        </is>
      </c>
    </row>
    <row r="23" ht="32" customHeight="1">
      <c r="A23" s="3" t="inlineStr">
        <is>
          <t>Schools</t>
        </is>
      </c>
      <c r="B23" s="4" t="inlineStr">
        <is>
          <t>Willis / Nolan / Lakewood Ranch High</t>
        </is>
      </c>
      <c r="C23" s="4" t="inlineStr">
        <is>
          <t>Public assignment. Confirm boundaries before relying on them.</t>
        </is>
      </c>
    </row>
  </sheetData>
  <autoFilter ref="A1:C23"/>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Permits: original tile roof completed 28 Feb 2006 (CMP-05031188). One HVAC changeout issued 30 May 2024 (BLD2405-3790). No 2017 HVAC permit and no 2020 pool-heater permit.</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60" customHeight="1">
      <c r="A2" s="29" t="inlineStr">
        <is>
          <t>Yellow cells are inputs. Recommendation on 23 Oct 2026 is to pass. The owners rejected two offers under $1,000,000 and are still asking $1,195,000. The roof is the original tile roof, completed 28 Feb 2006. One HVAC changeout was permitted on 30 May 2024. The agent's 2017 HVAC date and 2020 pool-heater date are not in the public permit file.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Pass unless the price is</t>
        </is>
      </c>
      <c r="B13" s="32" t="n">
        <v>850000</v>
      </c>
      <c r="C13" s="4" t="inlineStr">
        <is>
          <t>No offer today. The owners rejected two bids under $1,000,000 and are still asking $1,195,000. This cell is the bottom of the old bid range, not an instruction to write it.</t>
        </is>
      </c>
    </row>
    <row r="14" ht="30" customHeight="1">
      <c r="A14" s="30" t="inlineStr">
        <is>
          <t>Supported value</t>
        </is>
      </c>
      <c r="B14" s="32" t="n">
        <v>880000</v>
      </c>
      <c r="C14" s="4" t="inlineStr">
        <is>
          <t>About the 13978 contract rate on this living area. One permitted 2024 changeout offsets part of the roof. It does not support a premium, and the unconfirmed 2017 system does not add value.</t>
        </is>
      </c>
    </row>
    <row r="15" ht="30" customHeight="1">
      <c r="A15" s="30" t="inlineStr">
        <is>
          <t>Reopen the file at or below</t>
        </is>
      </c>
      <c r="B15" s="32" t="n">
        <v>910000</v>
      </c>
      <c r="C15" s="4" t="inlineStr">
        <is>
          <t>Only if the ask or a written counter is this or less, with an affordable insurance binder, a roof report that does not require immediate replacement, and a data plate showing the second system is 2017 or newer.</t>
        </is>
      </c>
    </row>
    <row r="16" ht="30" customHeight="1">
      <c r="A16" s="30" t="inlineStr">
        <is>
          <t>Ask vs supported</t>
        </is>
      </c>
      <c r="B16" s="33">
        <f>B4/B14-1</f>
        <v/>
      </c>
      <c r="C16" s="4" t="inlineStr">
        <is>
          <t>Percent the ask sits above the supported value</t>
        </is>
      </c>
    </row>
    <row r="17" ht="30" customHeight="1">
      <c r="A17" s="30" t="inlineStr">
        <is>
          <t>Dollars above supported</t>
        </is>
      </c>
      <c r="B17" s="5">
        <f>B4-B14</f>
        <v/>
      </c>
      <c r="C17" s="4" t="inlineStr">
        <is>
          <t>Gap between the ask and the supported value</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6"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 Manatee permits confirm the tile roof is original: CMP-05031188 was completed 28 Feb 2006, and no reroof permit follows it. The only later mechanical permit is BLD2405-3790, a like-for-like HVAC changeout issued 30 May 2024 for $9,524. That is one system. The agent's 2017 air conditioner and 2020 pool heater are not in the county file, so they are not credits. The original roof removes the $1,030,000 case. Supported value is $880,000. On 23 Oct 2026 the listing agent told our broker the owners have rejected two offers, both under $1,000,000. The amounts were not disclosed. The owners are holding a price above the bids buyers will write. Pass. Reopen the file only if the ask or a written counter is $910,000 or less.</t>
        </is>
      </c>
    </row>
    <row r="25" ht="36" customHeight="1"/>
    <row r="26" ht="36" customHeight="1"/>
    <row r="27" ht="36"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0"/>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Original. Pool completed 25 May 2006. Cage completed 7 Mar 2006. No later permit.</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Agent: 20 years old</t>
        </is>
      </c>
      <c r="C15" s="4" t="inlineStr">
        <is>
          <t>Not described as new in 2019</t>
        </is>
      </c>
      <c r="D15" s="4" t="inlineStr">
        <is>
          <t>Confirmed original. CMP-05031188 completed 28 Feb 2006. No reroof permit. Still get the certification.</t>
        </is>
      </c>
    </row>
    <row r="16" ht="32" customHeight="1">
      <c r="A16" s="4" t="inlineStr">
        <is>
          <t>Air conditioners</t>
        </is>
      </c>
      <c r="B16" s="4" t="inlineStr">
        <is>
          <t>Agent: one system 2024, second system 2017</t>
        </is>
      </c>
      <c r="C16" s="4" t="inlineStr">
        <is>
          <t>Not dated in 2019</t>
        </is>
      </c>
      <c r="D16" s="4" t="inlineStr">
        <is>
          <t>One permit only: BLD2405-3790, issued 30 May 2024, like for like, $9,524. No 2017 permit. Require the second data plate.</t>
        </is>
      </c>
    </row>
    <row r="17" ht="32" customHeight="1">
      <c r="A17" s="4" t="inlineStr">
        <is>
          <t>Pool heater</t>
        </is>
      </c>
      <c r="B17" s="4" t="inlineStr">
        <is>
          <t>Agent: 2020</t>
        </is>
      </c>
      <c r="C17" s="4" t="inlineStr">
        <is>
          <t>Pool and spa already existed</t>
        </is>
      </c>
      <c r="D17" s="4" t="inlineStr">
        <is>
          <t>No heater permit in the live county layer. Do not pay for a 2020 heater without the invoice or data plate.</t>
        </is>
      </c>
    </row>
    <row r="18" ht="32" customHeight="1">
      <c r="A18" s="4" t="inlineStr">
        <is>
          <t>Water heater</t>
        </is>
      </c>
      <c r="B18" s="4" t="inlineStr">
        <is>
          <t>Still not dated</t>
        </is>
      </c>
      <c r="C18" s="4" t="inlineStr">
        <is>
          <t>Not mentioned</t>
        </is>
      </c>
      <c r="D18" s="4" t="inlineStr">
        <is>
          <t>No water-heater permit in the files searched. Planning range is $1,500–$3,000 if it is original.</t>
        </is>
      </c>
    </row>
    <row r="19" ht="32" customHeight="1">
      <c r="A19" s="4" t="inlineStr">
        <is>
          <t>Windows</t>
        </is>
      </c>
      <c r="B19" s="4" t="inlineStr">
        <is>
          <t>Blinds and treatments only</t>
        </is>
      </c>
      <c r="C19" s="4" t="inlineStr">
        <is>
          <t>Not described as impact</t>
        </is>
      </c>
      <c r="D19" s="4" t="inlineStr">
        <is>
          <t>No wind-mitigation credit is being claimed. Verify.</t>
        </is>
      </c>
    </row>
    <row r="20" ht="32" customHeight="1">
      <c r="A20" s="4" t="inlineStr">
        <is>
          <t>Public record renovation year</t>
        </is>
      </c>
      <c r="B20" s="4" t="inlineStr">
        <is>
          <t>Remarks say fully remodeled, no date</t>
        </is>
      </c>
      <c r="C20" s="4" t="inlineStr">
        <is>
          <t>Redfin shows a 2012 renovation year</t>
        </is>
      </c>
      <c r="D20" s="4" t="inlineStr">
        <is>
          <t>No kitchen, bath, or alteration permit was found for this parcel. Do not treat 2012 as proven.</t>
        </is>
      </c>
    </row>
  </sheetData>
  <autoFilter ref="A1:D20"/>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7" t="inlineStr">
        <is>
          <t>High</t>
        </is>
      </c>
      <c r="C2" s="4" t="inlineStr">
        <is>
          <t>Ask is $456/sf against a 2026 sold median near $314/sf and a same-view neighbor under contract at $336/sf. The owners rejected two offers under $1,000,000. Amounts were not disclosed.</t>
        </is>
      </c>
      <c r="D2" s="4" t="inlineStr">
        <is>
          <t>Pass. The owners rejected the band buyers are writing. Supported value is $880,000. Reopen the file only if the ask or a counter is $910,000 or less.</t>
        </is>
      </c>
    </row>
    <row r="3" ht="48" customHeight="1">
      <c r="A3" s="4" t="inlineStr">
        <is>
          <t>Resale</t>
        </is>
      </c>
      <c r="B3" s="37"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7" t="inlineStr">
        <is>
          <t>High</t>
        </is>
      </c>
      <c r="C4" s="4" t="inlineStr">
        <is>
          <t>Permit CMP-05031188 completed 28 Feb 2006 with a tile roof. No reroof permit follows it. 13828, which sold at $346/sf, led with a brand-new roof.</t>
        </is>
      </c>
      <c r="D4" s="4" t="inlineStr">
        <is>
          <t>Roof certification, 4-point, wind mitigation, and an insurance binder before the inspection period ends. Planning range to replace a tile roof of this size is $40,000–$80,000. That is not a bid.</t>
        </is>
      </c>
    </row>
    <row r="5" ht="48" customHeight="1">
      <c r="A5" s="4" t="inlineStr">
        <is>
          <t>Second HVAC and water heater</t>
        </is>
      </c>
      <c r="B5" s="37" t="inlineStr">
        <is>
          <t>High</t>
        </is>
      </c>
      <c r="C5" s="4" t="inlineStr">
        <is>
          <t>The only HVAC permit is BLD2405-3790, one like-for-like changeout issued 30 May 2024 for $9,524. No 2017 permit was found. No water-heater permit was found.</t>
        </is>
      </c>
      <c r="D5" s="4" t="inlineStr">
        <is>
          <t>Read both data plates. If the second system is original, budget a replacement. Water heater planning range is $1,500–$3,000 if it is original. Accela lists no completed inspections on the 2024 permit; GIS shows a certificate date of 22 May 2026.</t>
        </is>
      </c>
    </row>
    <row r="6" ht="48" customHeight="1">
      <c r="A6" s="4" t="inlineStr">
        <is>
          <t>Tax reset</t>
        </is>
      </c>
      <c r="B6" s="37"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8" t="inlineStr">
        <is>
          <t>Medium</t>
        </is>
      </c>
      <c r="C7" s="4" t="inlineStr">
        <is>
          <t>2019 remarks already included the pool, spa, outdoor kitchen, tile, tall cabinets, granite, and office bath. The county files checked have no kitchen, bath, or alteration permit. Redfin's 2012 field is not a permit.</t>
        </is>
      </c>
      <c r="D7" s="4" t="inlineStr">
        <is>
          <t>Do not pay a remodel premium the permit file does not support. Ask the seller for invoices. Unpermitted work is a loan and insurance problem.</t>
        </is>
      </c>
    </row>
    <row r="8" ht="48" customHeight="1">
      <c r="A8" s="4" t="inlineStr">
        <is>
          <t>HOA disclosure</t>
        </is>
      </c>
      <c r="B8" s="38"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8" t="inlineStr">
        <is>
          <t>Medium</t>
        </is>
      </c>
      <c r="C9" s="4" t="inlineStr">
        <is>
          <t>Pool completed 25 May 2006. Mansard cage completed 7 Mar 2006. No later pool, heater, or cage permit. The agent's 2020 heater date is not in the county file.</t>
        </is>
      </c>
      <c r="D9" s="4" t="inlineStr">
        <is>
          <t>Pool inspection. Do not credit a 2020 heater without the data plate or invoice. Resurface and rescreen are separate jobs when they are due.</t>
        </is>
      </c>
    </row>
    <row r="10" ht="48" customHeight="1">
      <c r="A10" s="4" t="inlineStr">
        <is>
          <t>Three bedrooms</t>
        </is>
      </c>
      <c r="B10" s="38"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8"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11"/>
  <sheetViews>
    <sheetView workbookViewId="0">
      <pane ySplit="4" topLeftCell="A5" activePane="bottomLeft" state="frozen"/>
      <selection pane="bottomLeft" activeCell="A1" sqref="A1"/>
    </sheetView>
  </sheetViews>
  <sheetFormatPr baseColWidth="8" defaultRowHeight="15"/>
  <cols>
    <col width="28" customWidth="1" min="1" max="1"/>
    <col width="18" customWidth="1" min="2" max="2"/>
    <col width="22" customWidth="1" min="3" max="3"/>
    <col width="28" customWidth="1" min="4" max="4"/>
    <col width="14" customWidth="1" min="5" max="5"/>
    <col width="72" customWidth="1" min="6" max="6"/>
    <col width="62" customWidth="1" min="7" max="7"/>
  </cols>
  <sheetData>
    <row r="1" ht="22" customHeight="1">
      <c r="A1" s="28" t="inlineStr">
        <is>
          <t>Manatee County public permits for 13994 Siena Loop</t>
        </is>
      </c>
    </row>
    <row r="2" ht="36" customHeight="1">
      <c r="A2" s="2" t="inlineStr">
        <is>
          <t>Checked 23 Oct 2026. Archive CSVs published by Manatee Development Services cover 2004 through 21 Feb 2018. The live GIS PermitData layer, queried by parcel 588502359 and by house 13994 SIENA, returned one building permit, BLD2405-3790, plus a pointer to the historical archive. A missing permit means it was not in those public files. It does not prove the equipment was never replaced.</t>
        </is>
      </c>
    </row>
    <row r="4">
      <c r="A4" s="35" t="inlineStr">
        <is>
          <t>Work</t>
        </is>
      </c>
      <c r="B4" s="35" t="inlineStr">
        <is>
          <t>Permit</t>
        </is>
      </c>
      <c r="C4" s="35" t="inlineStr">
        <is>
          <t>Issued</t>
        </is>
      </c>
      <c r="D4" s="35" t="inlineStr">
        <is>
          <t>Completed</t>
        </is>
      </c>
      <c r="E4" s="35" t="inlineStr">
        <is>
          <t>Status</t>
        </is>
      </c>
      <c r="F4" s="35" t="inlineStr">
        <is>
          <t>What the county file shows</t>
        </is>
      </c>
      <c r="G4" s="35" t="inlineStr">
        <is>
          <t>Against the agent's date</t>
        </is>
      </c>
    </row>
    <row r="5" ht="48" customHeight="1">
      <c r="A5" s="4" t="inlineStr">
        <is>
          <t>New house and tile roof</t>
        </is>
      </c>
      <c r="B5" s="4" t="inlineStr">
        <is>
          <t>CMP-05031188</t>
        </is>
      </c>
      <c r="C5" s="4" t="inlineStr">
        <is>
          <t>28 Mar 2005</t>
        </is>
      </c>
      <c r="D5" s="4" t="inlineStr">
        <is>
          <t>28 Feb 2006</t>
        </is>
      </c>
      <c r="E5" s="39" t="inlineStr">
        <is>
          <t>Closed</t>
        </is>
      </c>
      <c r="F5" s="4" t="inlineStr">
        <is>
          <t>Original 3-bed, 3-bath, one-story concrete-block house with a tile roof and gas. Neal Communities of Southwest Florida. Declared cost $130,000. Lot 47.</t>
        </is>
      </c>
      <c r="G5" s="4" t="inlineStr">
        <is>
          <t>Matches the agent's 20-year roof. No reroof permit appears after this one.</t>
        </is>
      </c>
    </row>
    <row r="6" ht="48" customHeight="1">
      <c r="A6" s="4" t="inlineStr">
        <is>
          <t>Pool and spa</t>
        </is>
      </c>
      <c r="B6" s="4" t="inlineStr">
        <is>
          <t>CMP-05070213</t>
        </is>
      </c>
      <c r="C6" s="4" t="inlineStr">
        <is>
          <t>4 Aug 2005</t>
        </is>
      </c>
      <c r="D6" s="4" t="inlineStr">
        <is>
          <t>25 May 2006</t>
        </is>
      </c>
      <c r="E6" s="39" t="inlineStr">
        <is>
          <t>Closed</t>
        </is>
      </c>
      <c r="F6" s="4" t="inlineStr">
        <is>
          <t>In-ground pool, spa, and deck. Splash Pools. Declared cost $28,100. Built with the house.</t>
        </is>
      </c>
      <c r="G6" s="4" t="inlineStr">
        <is>
          <t>The pool is original. This permit does not date a heater.</t>
        </is>
      </c>
    </row>
    <row r="7" ht="48" customHeight="1">
      <c r="A7" s="4" t="inlineStr">
        <is>
          <t>Screen cage</t>
        </is>
      </c>
      <c r="B7" s="4" t="inlineStr">
        <is>
          <t>CMP-06011072</t>
        </is>
      </c>
      <c r="C7" s="4" t="inlineStr">
        <is>
          <t>23 Feb 2006</t>
        </is>
      </c>
      <c r="D7" s="4" t="inlineStr">
        <is>
          <t>7 Mar 2006</t>
        </is>
      </c>
      <c r="E7" s="39" t="inlineStr">
        <is>
          <t>Closed</t>
        </is>
      </c>
      <c r="F7" s="4" t="inlineStr">
        <is>
          <t>Mansard pool cage on the existing deck. Absolute Aluminum. Declared cost $6,667.</t>
        </is>
      </c>
      <c r="G7" s="4" t="inlineStr">
        <is>
          <t>The cage is original. No later cage or rescreen permit was found.</t>
        </is>
      </c>
    </row>
    <row r="8" ht="48" customHeight="1">
      <c r="A8" s="4" t="inlineStr">
        <is>
          <t>Air conditioner</t>
        </is>
      </c>
      <c r="B8" s="4" t="inlineStr">
        <is>
          <t>BLD2405-3790</t>
        </is>
      </c>
      <c r="C8" s="4" t="inlineStr">
        <is>
          <t>30 May 2024</t>
        </is>
      </c>
      <c r="D8" s="4" t="inlineStr">
        <is>
          <t>GIS certificate 22 May 2026</t>
        </is>
      </c>
      <c r="E8" s="39" t="inlineStr">
        <is>
          <t>Closed</t>
        </is>
      </c>
      <c r="F8" s="4" t="inlineStr">
        <is>
          <t>One like-for-like HVAC changeout. Arctic Air Services, Scott Whitaker. Job value $9,524. No duct replacement. Mechanical only. Accela lists no completed inspections.</t>
        </is>
      </c>
      <c r="G8" s="4" t="inlineStr">
        <is>
          <t>Confirms one 2024 system, not two. The agent's 2017 system has no permit in the files searched.</t>
        </is>
      </c>
    </row>
    <row r="9" ht="48" customHeight="1">
      <c r="A9" s="4" t="inlineStr">
        <is>
          <t>Second air conditioner, 2017</t>
        </is>
      </c>
      <c r="B9" s="4" t="inlineStr">
        <is>
          <t>None found</t>
        </is>
      </c>
      <c r="C9" s="4" t="inlineStr"/>
      <c r="D9" s="4" t="inlineStr"/>
      <c r="E9" s="38" t="inlineStr">
        <is>
          <t>Not in file</t>
        </is>
      </c>
      <c r="F9" s="4" t="inlineStr">
        <is>
          <t>No 2017 mechanical permit for this parcel in the 2013–2018 archive or in the live GIS layer.</t>
        </is>
      </c>
      <c r="G9" s="4" t="inlineStr">
        <is>
          <t>The 2017 date is the agent's statement only. The second system may still be the 2006 equipment.</t>
        </is>
      </c>
    </row>
    <row r="10" ht="48" customHeight="1">
      <c r="A10" s="4" t="inlineStr">
        <is>
          <t>Pool heater, 2020</t>
        </is>
      </c>
      <c r="B10" s="4" t="inlineStr">
        <is>
          <t>None found</t>
        </is>
      </c>
      <c r="C10" s="4" t="inlineStr"/>
      <c r="D10" s="4" t="inlineStr"/>
      <c r="E10" s="38" t="inlineStr">
        <is>
          <t>Not in file</t>
        </is>
      </c>
      <c r="F10" s="4" t="inlineStr">
        <is>
          <t>A 2020 heater permit would be in the live Accela-era layer. That layer has no heater permit for this house.</t>
        </is>
      </c>
      <c r="G10" s="4" t="inlineStr">
        <is>
          <t>The 2020 heater date is the agent's statement only.</t>
        </is>
      </c>
    </row>
    <row r="11" ht="48" customHeight="1">
      <c r="A11" s="4" t="inlineStr">
        <is>
          <t>Kitchen, baths, water heater</t>
        </is>
      </c>
      <c r="B11" s="4" t="inlineStr">
        <is>
          <t>None found</t>
        </is>
      </c>
      <c r="C11" s="4" t="inlineStr"/>
      <c r="D11" s="4" t="inlineStr"/>
      <c r="E11" s="38" t="inlineStr">
        <is>
          <t>Not in file</t>
        </is>
      </c>
      <c r="F11" s="4" t="inlineStr">
        <is>
          <t>No alteration, plumbing, or water-heater permit for this parcel in the files searched. Redfin's 2012 renovation year is not a permit.</t>
        </is>
      </c>
      <c r="G11" s="4" t="inlineStr">
        <is>
          <t>Finish claims are not backed by a county building permit.</t>
        </is>
      </c>
    </row>
  </sheetData>
  <autoFilter ref="A4:G11"/>
  <mergeCells count="1">
    <mergeCell ref="A2:G2"/>
  </mergeCells>
  <pageMargins left="0.75" right="0.75" top="1" bottom="1" header="0.5" footer="0.5"/>
  <pageSetup orientation="landscape" paperSize="3" fitToHeight="1" fitToWidth="1"/>
  <headerFooter>
    <oddHeader>&amp;LCounty permits, parcel 588502359</oddHeader>
    <oddFooter>&amp;RPage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1"/>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Not matched to a permit</t>
        </is>
      </c>
    </row>
    <row r="16" ht="32" customHeight="1">
      <c r="A16" s="4" t="inlineStr">
        <is>
          <t>New house and tile roof, completed 28 Feb 2006</t>
        </is>
      </c>
      <c r="B16" s="4" t="inlineStr">
        <is>
          <t>Manatee historical permit CMP-05031188, parcel 588502359</t>
        </is>
      </c>
      <c r="C16" s="4" t="inlineStr">
        <is>
          <t>Archive file 2004–2005, checked 23 Oct 2026</t>
        </is>
      </c>
    </row>
    <row r="17" ht="32" customHeight="1">
      <c r="A17" s="4" t="inlineStr">
        <is>
          <t>Pool and spa, completed 25 May 2006</t>
        </is>
      </c>
      <c r="B17" s="4" t="inlineStr">
        <is>
          <t>Manatee historical permit CMP-05070213</t>
        </is>
      </c>
      <c r="C17" s="4" t="inlineStr">
        <is>
          <t>Archive file 2004–2005, checked 23 Oct 2026</t>
        </is>
      </c>
    </row>
    <row r="18" ht="32" customHeight="1">
      <c r="A18" s="4" t="inlineStr">
        <is>
          <t>Mansard screen cage, completed 7 Mar 2006</t>
        </is>
      </c>
      <c r="B18" s="4" t="inlineStr">
        <is>
          <t>Manatee historical permit CMP-06011072</t>
        </is>
      </c>
      <c r="C18" s="4" t="inlineStr">
        <is>
          <t>Archive file 2006, checked 23 Oct 2026</t>
        </is>
      </c>
    </row>
    <row r="19" ht="32" customHeight="1">
      <c r="A19" s="4" t="inlineStr">
        <is>
          <t>One HVAC changeout, issued 30 May 2024, GIS certificate 22 May 2026</t>
        </is>
      </c>
      <c r="B19" s="4" t="inlineStr">
        <is>
          <t>Manatee GIS PermitData and Accela BLD2405-3790</t>
        </is>
      </c>
      <c r="C19" s="4" t="inlineStr">
        <is>
          <t>Live layer and Accela page, 23 Oct 2026</t>
        </is>
      </c>
    </row>
    <row r="20" ht="32" customHeight="1">
      <c r="A20" s="4" t="inlineStr">
        <is>
          <t>No 2017 HVAC permit, no 2020 heater permit, no remodel permit</t>
        </is>
      </c>
      <c r="B20" s="4" t="inlineStr">
        <is>
          <t>Same archive CSVs through 21 Feb 2018, plus the live GIS layer for this parcel and house</t>
        </is>
      </c>
      <c r="C20" s="4" t="inlineStr">
        <is>
          <t>Checked 23 Oct 2026</t>
        </is>
      </c>
    </row>
    <row r="21" ht="32" customHeight="1">
      <c r="A21" s="4" t="inlineStr">
        <is>
          <t>Two offers under $1,000,000, both rejected</t>
        </is>
      </c>
      <c r="B21" s="4" t="inlineStr">
        <is>
          <t>Listing agent, told to our broker. Dollar amounts were not disclosed</t>
        </is>
      </c>
      <c r="C21" s="4" t="inlineStr">
        <is>
          <t>23 Oct 2026</t>
        </is>
      </c>
    </row>
  </sheetData>
  <autoFilter ref="A1:C21"/>
  <pageMargins left="0.75" right="0.75" top="1" bottom="1" header="0.5" footer="0.5"/>
  <pageSetup orientation="landscape" paperSize="3" fitToHeight="1" fitToWidth="1"/>
  <headerFooter>
    <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2026-10-23T20:56:04Z</dcterms:created>
  <dcterms:modified xmlns:dcterms="http://purl.org/dc/terms/" xmlns:xsi="http://www.w3.org/2001/XMLSchema-instance" xsi:type="dcterms:W3CDTF">2026-10-23T20:56:04Z</dcterms:modified>
</cp:coreProperties>
</file>